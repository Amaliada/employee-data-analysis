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_rels/pivotTable3.xml.rels" ContentType="application/vnd.openxmlformats-package.relationships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_rels/pivotCacheDefinition2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ata" sheetId="1" state="visible" r:id="rId2"/>
    <sheet name="India Staff" sheetId="2" state="visible" r:id="rId3"/>
    <sheet name="Sheet5" sheetId="3" state="visible" r:id="rId4"/>
    <sheet name="All_Staff" sheetId="4" state="visible" r:id="rId5"/>
    <sheet name="Salary spred" sheetId="5" state="visible" r:id="rId6"/>
    <sheet name="Salary vs. rating" sheetId="6" state="visible" r:id="rId7"/>
    <sheet name="Info Finder" sheetId="7" state="visible" r:id="rId8"/>
    <sheet name="Male vs female" sheetId="8" state="visible" r:id="rId9"/>
    <sheet name="Sheet1" sheetId="9" state="visible" r:id="rId10"/>
    <sheet name="Sheet2" sheetId="10" state="visible" r:id="rId11"/>
    <sheet name="Sheet3" sheetId="11" state="visible" r:id="rId12"/>
    <sheet name="Sheet4" sheetId="12" state="visible" r:id="rId13"/>
  </sheets>
  <definedNames>
    <definedName function="false" hidden="false" name="Slicer_Country" vbProcedure="false">#N/A</definedName>
    <definedName function="false" hidden="false" name="_xlchart.v1.0" vbProcedure="false">All_Staff!$G$1</definedName>
    <definedName function="false" hidden="false" name="_xlchart.v1.1" vbProcedure="false">All_Staff!$G$2:$G$215</definedName>
    <definedName function="false" hidden="false" name="_xlchart.v1.2" vbProcedure="false">All_Staff!$G$1</definedName>
    <definedName function="false" hidden="false" name="_xlchart.v1.3" vbProcedure="false">All_Staff!$G$2:$G$215</definedName>
    <definedName function="false" hidden="false" name="_xlchart.v1.4" vbProcedure="false">All_Staff!$G$1</definedName>
    <definedName function="false" hidden="false" name="_xlchart.v1.5" vbProcedure="false">All_Staff!$G$2:$G$215</definedName>
    <definedName function="false" hidden="false" name="_xlchart.v1.6" vbProcedure="false">All_Staff!$G$1</definedName>
    <definedName function="false" hidden="false" name="_xlchart.v1.7" vbProcedure="false">All_Staff!$G$2:$G$215</definedName>
    <definedName function="false" hidden="false" localSheetId="0" name="_xlnm._FilterDatabase" vbProcedure="false">Data!$C$5:$I$104</definedName>
    <definedName function="false" hidden="false" localSheetId="1" name="_xlnm._FilterDatabase" vbProcedure="false">'India Staff'!$B$2:$H$114</definedName>
  </definedNames>
  <calcPr iterateCount="100" refMode="A1" iterate="false" iterateDelta="0.0001"/>
  <pivotCaches>
    <pivotCache cacheId="1" r:id="rId15"/>
    <pivotCache cacheId="2" r:id="rId1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<sst xmlns="http://schemas.openxmlformats.org/spreadsheetml/2006/main" count="1784" uniqueCount="251">
  <si>
    <t xml:space="preserve">Employee Data</t>
  </si>
  <si>
    <t xml:space="preserve">Name</t>
  </si>
  <si>
    <t xml:space="preserve">Gender</t>
  </si>
  <si>
    <t xml:space="preserve">Department</t>
  </si>
  <si>
    <t xml:space="preserve">Age</t>
  </si>
  <si>
    <t xml:space="preserve">Date Joined</t>
  </si>
  <si>
    <t xml:space="preserve">Salary</t>
  </si>
  <si>
    <t xml:space="preserve">Rating</t>
  </si>
  <si>
    <t xml:space="preserve">Country</t>
  </si>
  <si>
    <t xml:space="preserve">Lindy Guillet</t>
  </si>
  <si>
    <t xml:space="preserve">Male</t>
  </si>
  <si>
    <t xml:space="preserve">Sales</t>
  </si>
  <si>
    <t xml:space="preserve">Above average</t>
  </si>
  <si>
    <t xml:space="preserve">Ambros Murthwaite</t>
  </si>
  <si>
    <t xml:space="preserve">Procurement</t>
  </si>
  <si>
    <t xml:space="preserve">Average</t>
  </si>
  <si>
    <t xml:space="preserve">Tatum Hush</t>
  </si>
  <si>
    <t xml:space="preserve">Female</t>
  </si>
  <si>
    <t xml:space="preserve">Benny Karolovsky</t>
  </si>
  <si>
    <t xml:space="preserve">Finance</t>
  </si>
  <si>
    <t xml:space="preserve">Poor</t>
  </si>
  <si>
    <t xml:space="preserve">Hoyt D'Alesco</t>
  </si>
  <si>
    <t xml:space="preserve">Halimeda Kuscha</t>
  </si>
  <si>
    <t xml:space="preserve">Erin Androsik</t>
  </si>
  <si>
    <t xml:space="preserve">Vic Radolf</t>
  </si>
  <si>
    <t xml:space="preserve">Website</t>
  </si>
  <si>
    <t xml:space="preserve">William Reeveley</t>
  </si>
  <si>
    <t xml:space="preserve">Ewart Laphorn</t>
  </si>
  <si>
    <t xml:space="preserve">HR</t>
  </si>
  <si>
    <t xml:space="preserve">Bev Lashley</t>
  </si>
  <si>
    <t xml:space="preserve">Kath Bletsoe</t>
  </si>
  <si>
    <t xml:space="preserve">Murry Dryburgh</t>
  </si>
  <si>
    <t xml:space="preserve">Kaine Padly</t>
  </si>
  <si>
    <t xml:space="preserve">Kassi Jonson</t>
  </si>
  <si>
    <t xml:space="preserve">Simon Kembery</t>
  </si>
  <si>
    <t xml:space="preserve">Orton Livick</t>
  </si>
  <si>
    <t xml:space="preserve">Kelci Walkden</t>
  </si>
  <si>
    <t xml:space="preserve">Dotty Strutley</t>
  </si>
  <si>
    <t xml:space="preserve">Shari McNee</t>
  </si>
  <si>
    <t xml:space="preserve">Oby Sorrel</t>
  </si>
  <si>
    <t xml:space="preserve">Husein Augar</t>
  </si>
  <si>
    <t xml:space="preserve">Brien Boise</t>
  </si>
  <si>
    <t xml:space="preserve">Esmaria Denecamp</t>
  </si>
  <si>
    <t xml:space="preserve">Curtice Advani</t>
  </si>
  <si>
    <t xml:space="preserve">Barr Faughny</t>
  </si>
  <si>
    <t xml:space="preserve">Exceptional</t>
  </si>
  <si>
    <t xml:space="preserve">Merrilee Plenty</t>
  </si>
  <si>
    <t xml:space="preserve">Niall Selesnick</t>
  </si>
  <si>
    <t xml:space="preserve">Beverie Moffet</t>
  </si>
  <si>
    <t xml:space="preserve">Jehu Rudeforth</t>
  </si>
  <si>
    <t xml:space="preserve">Camilla Castle</t>
  </si>
  <si>
    <t xml:space="preserve">Very poor</t>
  </si>
  <si>
    <t xml:space="preserve">Roddy Speechley</t>
  </si>
  <si>
    <t xml:space="preserve">Gray Seamon</t>
  </si>
  <si>
    <t xml:space="preserve">Madelene Upcott</t>
  </si>
  <si>
    <t xml:space="preserve">Violante Courtonne</t>
  </si>
  <si>
    <t xml:space="preserve">Bernie Gorges</t>
  </si>
  <si>
    <t xml:space="preserve">Torrance Collier</t>
  </si>
  <si>
    <t xml:space="preserve">Dyna Doucette</t>
  </si>
  <si>
    <t xml:space="preserve">Gunar Cockshoot</t>
  </si>
  <si>
    <t xml:space="preserve">Kaye Crocroft</t>
  </si>
  <si>
    <t xml:space="preserve">Allene Gobbet</t>
  </si>
  <si>
    <t xml:space="preserve">Sibyl Dunkirk</t>
  </si>
  <si>
    <t xml:space="preserve">Agnes Collicott</t>
  </si>
  <si>
    <t xml:space="preserve">Leilah Yesinin</t>
  </si>
  <si>
    <t xml:space="preserve">Mollie Hanway</t>
  </si>
  <si>
    <t xml:space="preserve">Kellsie Waby</t>
  </si>
  <si>
    <t xml:space="preserve">Hyacinthie Braybrooke</t>
  </si>
  <si>
    <t xml:space="preserve">Van Tuxwell</t>
  </si>
  <si>
    <t xml:space="preserve">Lilyan Klimpt</t>
  </si>
  <si>
    <t xml:space="preserve">Tawnya Tickel</t>
  </si>
  <si>
    <t xml:space="preserve">Jan Morforth</t>
  </si>
  <si>
    <t xml:space="preserve">Florinda Crace</t>
  </si>
  <si>
    <t xml:space="preserve">Tracy Renad</t>
  </si>
  <si>
    <t xml:space="preserve">Myer McCory</t>
  </si>
  <si>
    <t xml:space="preserve">Bennie Pepis</t>
  </si>
  <si>
    <t xml:space="preserve">Rafaelita Blaksland</t>
  </si>
  <si>
    <t xml:space="preserve">Mahalia Larcher</t>
  </si>
  <si>
    <t xml:space="preserve">Andria Kimpton</t>
  </si>
  <si>
    <t xml:space="preserve">Valentia Etteridge</t>
  </si>
  <si>
    <t xml:space="preserve">Virginia McConville</t>
  </si>
  <si>
    <t xml:space="preserve">Wilone O'Kielt</t>
  </si>
  <si>
    <t xml:space="preserve">Madge McCloughen</t>
  </si>
  <si>
    <t xml:space="preserve">Janene Hairsine</t>
  </si>
  <si>
    <t xml:space="preserve">Alta Kaszper</t>
  </si>
  <si>
    <t xml:space="preserve">Dennison Crosswaite</t>
  </si>
  <si>
    <t xml:space="preserve">Oran Buxcy</t>
  </si>
  <si>
    <t xml:space="preserve">Hinda Label</t>
  </si>
  <si>
    <t xml:space="preserve">Marney O'Breen</t>
  </si>
  <si>
    <t xml:space="preserve">Dell Molloy</t>
  </si>
  <si>
    <t xml:space="preserve">Mallorie Waber</t>
  </si>
  <si>
    <t xml:space="preserve">Cherlyn Barter</t>
  </si>
  <si>
    <t xml:space="preserve">Ches Bonnell</t>
  </si>
  <si>
    <t xml:space="preserve">Collin Jagson</t>
  </si>
  <si>
    <t xml:space="preserve">Hogan Iles</t>
  </si>
  <si>
    <t xml:space="preserve">Gretchen Callow</t>
  </si>
  <si>
    <t xml:space="preserve">Kissiah Maydway</t>
  </si>
  <si>
    <t xml:space="preserve">Archibald Filliskirk</t>
  </si>
  <si>
    <t xml:space="preserve">Enoch Dowrey</t>
  </si>
  <si>
    <t xml:space="preserve">Bili Sizey</t>
  </si>
  <si>
    <t xml:space="preserve">Caro Chappel</t>
  </si>
  <si>
    <t xml:space="preserve">Constantino Espley</t>
  </si>
  <si>
    <t xml:space="preserve">Karlen McCaffrey</t>
  </si>
  <si>
    <t xml:space="preserve">Drusy MacCombe</t>
  </si>
  <si>
    <t xml:space="preserve">My Hanscome</t>
  </si>
  <si>
    <t xml:space="preserve">Teressa Udden</t>
  </si>
  <si>
    <t xml:space="preserve">Crissie Cordel</t>
  </si>
  <si>
    <t xml:space="preserve">Elia Cockton</t>
  </si>
  <si>
    <t xml:space="preserve">Gigi Bohling</t>
  </si>
  <si>
    <t xml:space="preserve">Ebonee Roxburgh</t>
  </si>
  <si>
    <t xml:space="preserve">Shayne Stegel</t>
  </si>
  <si>
    <t xml:space="preserve">Zach Polon</t>
  </si>
  <si>
    <t xml:space="preserve">Year</t>
  </si>
  <si>
    <t xml:space="preserve">Month_num</t>
  </si>
  <si>
    <t xml:space="preserve">Month_name</t>
  </si>
  <si>
    <t xml:space="preserve">Heer Pennathur</t>
  </si>
  <si>
    <t xml:space="preserve">Suchira Bhanupriya Tapti</t>
  </si>
  <si>
    <t xml:space="preserve">Ardhendu Abhichandra Jayakar</t>
  </si>
  <si>
    <t xml:space="preserve">Kevalkumar Solanki</t>
  </si>
  <si>
    <t xml:space="preserve">Dhruv Manjunath</t>
  </si>
  <si>
    <t xml:space="preserve">Akbar Sorabhjee</t>
  </si>
  <si>
    <t xml:space="preserve">Anjushri Chandiramani</t>
  </si>
  <si>
    <t xml:space="preserve">Sanchali Shirish</t>
  </si>
  <si>
    <t xml:space="preserve">Jagajeet Viraj</t>
  </si>
  <si>
    <t xml:space="preserve">Sahila Chandrasekhar</t>
  </si>
  <si>
    <t xml:space="preserve">Fullara Sushanti Mokate</t>
  </si>
  <si>
    <t xml:space="preserve">Sarayu Ragunathan</t>
  </si>
  <si>
    <t xml:space="preserve">Narois Motiwala</t>
  </si>
  <si>
    <t xml:space="preserve">Deepali Charan</t>
  </si>
  <si>
    <t xml:space="preserve">Indu Varada Sumedh</t>
  </si>
  <si>
    <t xml:space="preserve">Sukhdev Nageshwar</t>
  </si>
  <si>
    <t xml:space="preserve">Purnendu Vijayarangan</t>
  </si>
  <si>
    <t xml:space="preserve">Shiuli Sapna</t>
  </si>
  <si>
    <t xml:space="preserve">Kamalakshi Mukundan</t>
  </si>
  <si>
    <t xml:space="preserve">Sameer Shashank Sapra</t>
  </si>
  <si>
    <t xml:space="preserve">Asija Pothireddy</t>
  </si>
  <si>
    <t xml:space="preserve">Baruna Ogale</t>
  </si>
  <si>
    <t xml:space="preserve">Karuna Pashupathy</t>
  </si>
  <si>
    <t xml:space="preserve">Rameshwari Chikodi</t>
  </si>
  <si>
    <t xml:space="preserve">Vinanti Choudhari</t>
  </si>
  <si>
    <t xml:space="preserve">Hemavati Muthiah</t>
  </si>
  <si>
    <t xml:space="preserve">Agrata Rajarama</t>
  </si>
  <si>
    <t xml:space="preserve">Mirium Seemantini Shivakumar</t>
  </si>
  <si>
    <t xml:space="preserve">Kulbhushan Moorthy</t>
  </si>
  <si>
    <t xml:space="preserve">Godavari Veena</t>
  </si>
  <si>
    <t xml:space="preserve">Gangadutt Ragha</t>
  </si>
  <si>
    <t xml:space="preserve">Yagna Sujeev</t>
  </si>
  <si>
    <t xml:space="preserve">Anumati Shyamari Meherhomji</t>
  </si>
  <si>
    <t xml:space="preserve">Ayog Chakrabarti</t>
  </si>
  <si>
    <t xml:space="preserve">Sawini Chandan</t>
  </si>
  <si>
    <t xml:space="preserve">Manjusri Ruchi</t>
  </si>
  <si>
    <t xml:space="preserve">Abhaya Priyavardhan</t>
  </si>
  <si>
    <t xml:space="preserve">Yauvani Tarpa</t>
  </si>
  <si>
    <t xml:space="preserve">Kantimoy Pritish</t>
  </si>
  <si>
    <t xml:space="preserve">Madhavdas Buhpathi</t>
  </si>
  <si>
    <t xml:space="preserve">Chitrasen Laul</t>
  </si>
  <si>
    <t xml:space="preserve">Gumwant Veera</t>
  </si>
  <si>
    <t xml:space="preserve">Sahas Sanabhi Shrikant</t>
  </si>
  <si>
    <t xml:space="preserve">Deepit Ranjana</t>
  </si>
  <si>
    <t xml:space="preserve">Krishnakanta Vellanki</t>
  </si>
  <si>
    <t xml:space="preserve">Shreela Ramasubraman</t>
  </si>
  <si>
    <t xml:space="preserve">Kaishori Harathi Kateel</t>
  </si>
  <si>
    <t xml:space="preserve">Tarala Vishaal</t>
  </si>
  <si>
    <t xml:space="preserve">Hridaynath Tendulkar</t>
  </si>
  <si>
    <t xml:space="preserve">Geena Raghavanpillai</t>
  </si>
  <si>
    <t xml:space="preserve">Shevantilal Muppala</t>
  </si>
  <si>
    <t xml:space="preserve">Shulabh Qutub Sundaramoorthy</t>
  </si>
  <si>
    <t xml:space="preserve">Pragya Nilufar</t>
  </si>
  <si>
    <t xml:space="preserve">Amal Nimesh</t>
  </si>
  <si>
    <t xml:space="preserve">Rushil Kripa</t>
  </si>
  <si>
    <t xml:space="preserve">Devasree Fullara Saurin</t>
  </si>
  <si>
    <t xml:space="preserve">Vanmala Shriharsha</t>
  </si>
  <si>
    <t xml:space="preserve">Upendra Swati</t>
  </si>
  <si>
    <t xml:space="preserve">Mithil Nadkarni</t>
  </si>
  <si>
    <t xml:space="preserve">Ilesh Dasgupta</t>
  </si>
  <si>
    <t xml:space="preserve">Prerana Nishita</t>
  </si>
  <si>
    <t xml:space="preserve">Lalit Kothari</t>
  </si>
  <si>
    <t xml:space="preserve">Waheeda Vasuman</t>
  </si>
  <si>
    <t xml:space="preserve">Vasu Nandin</t>
  </si>
  <si>
    <t xml:space="preserve">Sartaj Probal</t>
  </si>
  <si>
    <t xml:space="preserve">Krittika Gaekwad</t>
  </si>
  <si>
    <t xml:space="preserve">Pratigya Rema</t>
  </si>
  <si>
    <t xml:space="preserve">Mardav Ramaswami</t>
  </si>
  <si>
    <t xml:space="preserve">Shubhra Potla</t>
  </si>
  <si>
    <t xml:space="preserve">Amlankusum Rajabhushan</t>
  </si>
  <si>
    <t xml:space="preserve">Kunja Prashanta Vibha</t>
  </si>
  <si>
    <t xml:space="preserve">Bhuvan Pals</t>
  </si>
  <si>
    <t xml:space="preserve">Jaishree Atasi Yavatkar</t>
  </si>
  <si>
    <t xml:space="preserve">Mahindra Sreedharan</t>
  </si>
  <si>
    <t xml:space="preserve">Piyali Mahanthapa</t>
  </si>
  <si>
    <t xml:space="preserve">Bandhula Sathyanna</t>
  </si>
  <si>
    <t xml:space="preserve">Daruka Ghazali</t>
  </si>
  <si>
    <t xml:space="preserve">Satyendra Venkatadri</t>
  </si>
  <si>
    <t xml:space="preserve">Damayanti Thangavadivelu</t>
  </si>
  <si>
    <t xml:space="preserve">Shobhana Samuel</t>
  </si>
  <si>
    <t xml:space="preserve">Chandana Sannidhi Surnilla</t>
  </si>
  <si>
    <t xml:space="preserve">Udyan Lanka</t>
  </si>
  <si>
    <t xml:space="preserve">Ranajay Kailashnath Richa</t>
  </si>
  <si>
    <t xml:space="preserve">Shattesh Utpat</t>
  </si>
  <si>
    <t xml:space="preserve">Rukma Vinita</t>
  </si>
  <si>
    <t xml:space="preserve">Nanak Sapna</t>
  </si>
  <si>
    <t xml:space="preserve">Madhumati Gazala Soumitra</t>
  </si>
  <si>
    <t xml:space="preserve">Rupak Mehra</t>
  </si>
  <si>
    <t xml:space="preserve">Shekhar Eswara</t>
  </si>
  <si>
    <t xml:space="preserve">Sarojini Naueshwara</t>
  </si>
  <si>
    <t xml:space="preserve">Makshi Vinutha</t>
  </si>
  <si>
    <t xml:space="preserve">Ramnath Ravuri</t>
  </si>
  <si>
    <t xml:space="preserve">IND</t>
  </si>
  <si>
    <t xml:space="preserve">NZ</t>
  </si>
  <si>
    <t xml:space="preserve">Count - Name</t>
  </si>
  <si>
    <t xml:space="preserve">Total Result</t>
  </si>
  <si>
    <t xml:space="preserve">Tenure</t>
  </si>
  <si>
    <t xml:space="preserve">Bonus</t>
  </si>
  <si>
    <t xml:space="preserve">Rating as number</t>
  </si>
  <si>
    <t xml:space="preserve">Count of employees</t>
  </si>
  <si>
    <t xml:space="preserve">Average salary</t>
  </si>
  <si>
    <t xml:space="preserve">Average age</t>
  </si>
  <si>
    <t xml:space="preserve">Average Tenure</t>
  </si>
  <si>
    <t xml:space="preserve">Female ratio %</t>
  </si>
  <si>
    <t xml:space="preserve">Female count</t>
  </si>
  <si>
    <t xml:space="preserve">Ratio %</t>
  </si>
  <si>
    <t xml:space="preserve">Ratio of 90,000$&gt;</t>
  </si>
  <si>
    <t xml:space="preserve">XLOOKUP</t>
  </si>
  <si>
    <t xml:space="preserve">VLOOKUP</t>
  </si>
  <si>
    <t xml:space="preserve">Others</t>
  </si>
  <si>
    <t xml:space="preserve">Total</t>
  </si>
  <si>
    <t xml:space="preserve">Information finder</t>
  </si>
  <si>
    <t xml:space="preserve">Departement Name</t>
  </si>
  <si>
    <t xml:space="preserve">Number of people</t>
  </si>
  <si>
    <t xml:space="preserve">Male vs female</t>
  </si>
  <si>
    <t xml:space="preserve">Data</t>
  </si>
  <si>
    <t xml:space="preserve">Average - Age</t>
  </si>
  <si>
    <t xml:space="preserve">Average - Salary</t>
  </si>
  <si>
    <t xml:space="preserve">Average - Tenure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</si>
  <si>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</si>
  <si>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</si>
  <si>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</si>
  <si>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</si>
  <si>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</si>
  <si>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</si>
  <si>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</si>
  <si>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</si>
  <si>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</si>
  <si>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</si>
  <si>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</si>
  <si>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</si>
  <si>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2021 Result</t>
  </si>
  <si>
    <t xml:space="preserve">2023 Result</t>
  </si>
  <si>
    <t xml:space="preserve">New Zealand</t>
  </si>
  <si>
    <t xml:space="preserve">India</t>
  </si>
  <si>
    <t xml:space="preserve">                                                                                  Headcount by Department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</si>
</sst>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[$-409]D\-MMM\-YY"/>
    <numFmt numFmtId="166" formatCode="_([$$-409]* #,##0.00_);_([$$-409]* \(#,##0.00\);_([$$-409]* \-??_);_(@_)"/>
    <numFmt numFmtId="167" formatCode="[$-409]D\-MMM\-YY;@"/>
    <numFmt numFmtId="168" formatCode="0"/>
    <numFmt numFmtId="169" formatCode="[$-409]M/D/YYYY"/>
    <numFmt numFmtId="170" formatCode="_([$$-409]* #,##0_);_([$$-409]* \(#,##0\);_([$$-409]* \-??_);_(@_)"/>
    <numFmt numFmtId="171" formatCode="0.00"/>
    <numFmt numFmtId="172" formatCode="0%"/>
    <numFmt numFmtId="173" formatCode="0.00%"/>
    <numFmt numFmtId="174" formatCode="General"/>
    <numFmt numFmtId="175" formatCode="\$#,##0"/>
  </numFmts>
  <fonts count="2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28"/>
      <color rgb="FF000000"/>
      <name val="Segoe UI Light"/>
      <family val="2"/>
      <charset val="1"/>
    </font>
    <font>
      <sz val="11"/>
      <name val="Times New Roman"/>
      <family val="1"/>
    </font>
    <font>
      <b val="true"/>
      <u val="single"/>
      <sz val="11"/>
      <color rgb="FF000000"/>
      <name val="Calibri"/>
      <family val="0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4"/>
      <color rgb="FF595959"/>
      <name val="Calibri"/>
      <family val="2"/>
    </font>
    <font>
      <sz val="9"/>
      <color rgb="FF404040"/>
      <name val="Calibri"/>
      <family val="2"/>
    </font>
    <font>
      <sz val="10"/>
      <color rgb="FF595959"/>
      <name val="Calibri"/>
      <family val="2"/>
    </font>
    <font>
      <b val="true"/>
      <sz val="9"/>
      <color rgb="FF595959"/>
      <name val="Calibri"/>
      <family val="2"/>
    </font>
    <font>
      <b val="true"/>
      <sz val="12"/>
      <color rgb="FF000000"/>
      <name val="Calibri"/>
      <family val="2"/>
    </font>
    <font>
      <sz val="12"/>
      <color rgb="FF000000"/>
      <name val="Calibri"/>
      <family val="2"/>
    </font>
    <font>
      <sz val="28"/>
      <color rgb="FF000000"/>
      <name val="Calibri"/>
      <family val="0"/>
      <charset val="1"/>
    </font>
    <font>
      <sz val="26"/>
      <color rgb="FF000000"/>
      <name val="Calibri"/>
      <family val="0"/>
      <charset val="1"/>
    </font>
    <font>
      <b val="true"/>
      <sz val="36"/>
      <color rgb="FF4472C4"/>
      <name val="Calibri"/>
      <family val="2"/>
      <charset val="1"/>
    </font>
    <font>
      <b val="true"/>
      <sz val="26"/>
      <color rgb="FF4472C4"/>
      <name val="Calibri"/>
      <family val="2"/>
      <charset val="1"/>
    </font>
    <font>
      <b val="true"/>
      <sz val="24"/>
      <color rgb="FF4472C4"/>
      <name val="Calibri"/>
      <family val="2"/>
      <charset val="1"/>
    </font>
    <font>
      <sz val="16"/>
      <color rgb="FF00000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637CEF"/>
      </patternFill>
    </fill>
    <fill>
      <patternFill patternType="solid">
        <fgColor rgb="FFE7E6E6"/>
        <bgColor rgb="FFDAE3F3"/>
      </patternFill>
    </fill>
    <fill>
      <patternFill patternType="solid">
        <fgColor rgb="FF70AD47"/>
        <bgColor rgb="FF99CC00"/>
      </patternFill>
    </fill>
    <fill>
      <patternFill patternType="solid">
        <fgColor rgb="FFFBE5D6"/>
        <bgColor rgb="FFE7E6E6"/>
      </patternFill>
    </fill>
    <fill>
      <patternFill patternType="solid">
        <fgColor rgb="FFBDD7EE"/>
        <bgColor rgb="FFD6DCE5"/>
      </patternFill>
    </fill>
    <fill>
      <patternFill patternType="solid">
        <fgColor rgb="FF5B9BD5"/>
        <bgColor rgb="FF637CEF"/>
      </patternFill>
    </fill>
    <fill>
      <patternFill patternType="solid">
        <fgColor rgb="FFDAE3F3"/>
        <bgColor rgb="FFD6DCE5"/>
      </patternFill>
    </fill>
    <fill>
      <patternFill patternType="solid">
        <fgColor rgb="FFF8CBAD"/>
        <bgColor rgb="FFFFC7CE"/>
      </patternFill>
    </fill>
    <fill>
      <patternFill patternType="solid">
        <fgColor rgb="FFFFFFFF"/>
        <bgColor rgb="FFFBE5D6"/>
      </patternFill>
    </fill>
    <fill>
      <patternFill patternType="solid">
        <fgColor rgb="FFD6DCE5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F4B183"/>
      </left>
      <right/>
      <top style="thin">
        <color rgb="FFF4B183"/>
      </top>
      <bottom style="thin">
        <color rgb="FFF4B183"/>
      </bottom>
      <diagonal/>
    </border>
    <border diagonalUp="false" diagonalDown="false">
      <left/>
      <right/>
      <top style="thin">
        <color rgb="FFF4B183"/>
      </top>
      <bottom style="thin">
        <color rgb="FFF4B183"/>
      </bottom>
      <diagonal/>
    </border>
    <border diagonalUp="false" diagonalDown="false">
      <left/>
      <right style="thin">
        <color rgb="FFF4B183"/>
      </right>
      <top style="thin">
        <color rgb="FFF4B183"/>
      </top>
      <bottom style="thin">
        <color rgb="FFF4B183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1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2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70" fontId="0" fillId="0" borderId="3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3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3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3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40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42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637CEF"/>
      <rgbColor rgb="FF8EA9DB"/>
      <rgbColor rgb="FF993366"/>
      <rgbColor rgb="FFFBE5D6"/>
      <rgbColor rgb="FFDAE3F3"/>
      <rgbColor rgb="FF660066"/>
      <rgbColor rgb="FFF4B183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D6DCE5"/>
      <rgbColor rgb="FFFFC7CE"/>
      <rgbColor rgb="FFD9D9D9"/>
      <rgbColor rgb="FFF4B084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5B9BD5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<Relationship Id="rId15" Type="http://schemas.openxmlformats.org/officeDocument/2006/relationships/pivotCacheDefinition" Target="pivotCache/pivotCacheDefinition1.xml"/><Relationship Id="rId16" Type="http://schemas.openxmlformats.org/officeDocument/2006/relationships/pivotCacheDefinition" Target="pivotCache/pivotCacheDefinition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Salary vs. Rating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All_Staff!$L$1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637cef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637cef"/>
              </a:solidFill>
            </c:spPr>
          </c:marker>
          <c:dLbls>
            <c:numFmt formatCode="0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All_Staff!$G$2:$G$215</c:f>
              <c:numCache>
                <c:formatCode>General</c:formatCode>
                <c:ptCount val="2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</c:numCache>
            </c:numRef>
          </c:xVal>
          <c:yVal>
            <c:numRef>
              <c:f>All_Staff!$L$2:$L$215</c:f>
              <c:numCache>
                <c:formatCode>General</c:formatCode>
                <c:ptCount val="214"/>
                <c:pt idx="0">
                  <c:v/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3</c:v>
                </c:pt>
                <c:pt idx="74">
                  <c:v>3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2</c:v>
                </c:pt>
                <c:pt idx="84">
                  <c:v>2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5</c:v>
                </c:pt>
                <c:pt idx="92">
                  <c:v>5</c:v>
                </c:pt>
                <c:pt idx="93">
                  <c:v>3</c:v>
                </c:pt>
                <c:pt idx="94">
                  <c:v>3</c:v>
                </c:pt>
                <c:pt idx="95">
                  <c:v>1</c:v>
                </c:pt>
                <c:pt idx="96">
                  <c:v>1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4</c:v>
                </c:pt>
                <c:pt idx="102">
                  <c:v>4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4</c:v>
                </c:pt>
                <c:pt idx="110">
                  <c:v>4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2</c:v>
                </c:pt>
                <c:pt idx="120">
                  <c:v>2</c:v>
                </c:pt>
                <c:pt idx="121">
                  <c:v>4</c:v>
                </c:pt>
                <c:pt idx="122">
                  <c:v>4</c:v>
                </c:pt>
                <c:pt idx="123">
                  <c:v>3</c:v>
                </c:pt>
                <c:pt idx="124">
                  <c:v>3</c:v>
                </c:pt>
                <c:pt idx="125">
                  <c:v>4</c:v>
                </c:pt>
                <c:pt idx="126">
                  <c:v>4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5</c:v>
                </c:pt>
                <c:pt idx="154">
                  <c:v>5</c:v>
                </c:pt>
                <c:pt idx="155">
                  <c:v>4</c:v>
                </c:pt>
                <c:pt idx="156">
                  <c:v>4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4</c:v>
                </c:pt>
                <c:pt idx="166">
                  <c:v>4</c:v>
                </c:pt>
                <c:pt idx="167">
                  <c:v>1</c:v>
                </c:pt>
                <c:pt idx="168">
                  <c:v>1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2</c:v>
                </c:pt>
                <c:pt idx="176">
                  <c:v>2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  <c:pt idx="208">
                  <c:v/>
                </c:pt>
                <c:pt idx="209">
                  <c:v/>
                </c:pt>
                <c:pt idx="210">
                  <c:v/>
                </c:pt>
                <c:pt idx="211">
                  <c:v/>
                </c:pt>
                <c:pt idx="212">
                  <c:v/>
                </c:pt>
                <c:pt idx="213">
                  <c:v/>
                </c:pt>
              </c:numCache>
            </c:numRef>
          </c:yVal>
          <c:smooth val="0"/>
        </c:ser>
        <c:axId val="32923637"/>
        <c:axId val="77831581"/>
      </c:scatterChart>
      <c:valAx>
        <c:axId val="3292363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[$$-409]* #,##0_);_([$$-409]* \(#,##0\);_([$$-409]* \-??_);_(@_)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7831581"/>
        <c:crosses val="autoZero"/>
        <c:crossBetween val="midCat"/>
      </c:valAx>
      <c:valAx>
        <c:axId val="778315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2923637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1" sz="1400" spc="-1" strike="noStrike">
                <a:solidFill>
                  <a:srgbClr val="595959"/>
                </a:solidFill>
                <a:latin typeface="Calibri"/>
              </a:rPr>
              <a:t>Employee Count Trend Over Time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Sheet3!$C$2</c:f>
              <c:strCache>
                <c:ptCount val="1"/>
                <c:pt idx="0">
                  <c:v>Count - Name</c:v>
                </c:pt>
              </c:strCache>
            </c:strRef>
          </c:tx>
          <c:spPr>
            <a:solidFill>
              <a:srgbClr val="637cef"/>
            </a:solidFill>
            <a:ln w="28440">
              <a:solidFill>
                <a:srgbClr val="637cef"/>
              </a:solidFill>
              <a:round/>
            </a:ln>
          </c:spPr>
          <c:marker>
            <c:symbol val="triangle"/>
            <c:size val="4"/>
            <c:spPr>
              <a:solidFill>
                <a:srgbClr val="637cef"/>
              </a:solidFill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Sheet3!$A$3:$B$20</c:f>
              <c:strCache>
                <c:ptCount val="36"/>
                <c:pt idx="0">
                  <c:v>2020</c:v>
                </c:pt>
                <c:pt idx="1">
                  <c:v>2021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>2021 Result</c:v>
                </c:pt>
                <c:pt idx="14">
                  <c:v>2022</c:v>
                </c:pt>
                <c:pt idx="15">
                  <c:v>2023</c:v>
                </c:pt>
                <c:pt idx="16">
                  <c:v>2023 Result</c:v>
                </c:pt>
                <c:pt idx="17">
                  <c:v>Total Result</c:v>
                </c:pt>
                <c:pt idx="18">
                  <c:v/>
                </c:pt>
                <c:pt idx="19">
                  <c:v>Jan</c:v>
                </c:pt>
                <c:pt idx="20">
                  <c:v>Feb</c:v>
                </c:pt>
                <c:pt idx="21">
                  <c:v>Mar</c:v>
                </c:pt>
                <c:pt idx="22">
                  <c:v>Apr</c:v>
                </c:pt>
                <c:pt idx="23">
                  <c:v>May</c:v>
                </c:pt>
                <c:pt idx="24">
                  <c:v>Jun</c:v>
                </c:pt>
                <c:pt idx="25">
                  <c:v>Jul</c:v>
                </c:pt>
                <c:pt idx="26">
                  <c:v>Aug</c:v>
                </c:pt>
                <c:pt idx="27">
                  <c:v>Sep</c:v>
                </c:pt>
                <c:pt idx="28">
                  <c:v>Oct</c:v>
                </c:pt>
                <c:pt idx="29">
                  <c:v>Nov</c:v>
                </c:pt>
                <c:pt idx="30">
                  <c:v>Dec</c:v>
                </c:pt>
                <c:pt idx="31">
                  <c:v/>
                </c:pt>
                <c:pt idx="32">
                  <c:v/>
                </c:pt>
                <c:pt idx="33">
                  <c:v>Feb</c:v>
                </c:pt>
                <c:pt idx="34">
                  <c:v/>
                </c:pt>
                <c:pt idx="35">
                  <c:v/>
                </c:pt>
              </c:strCache>
            </c:strRef>
          </c:cat>
          <c:val>
            <c:numRef>
              <c:f>Sheet3!$C$3:$C$20</c:f>
              <c:numCache>
                <c:formatCode>General</c:formatCode>
                <c:ptCount val="18"/>
                <c:pt idx="0">
                  <c:v>27</c:v>
                </c:pt>
                <c:pt idx="1">
                  <c:v>4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2</c:v>
                </c:pt>
                <c:pt idx="7">
                  <c:v>9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7</c:v>
                </c:pt>
                <c:pt idx="13">
                  <c:v>49</c:v>
                </c:pt>
                <c:pt idx="14">
                  <c:v>35</c:v>
                </c:pt>
                <c:pt idx="15">
                  <c:v>1</c:v>
                </c:pt>
                <c:pt idx="16">
                  <c:v>1</c:v>
                </c:pt>
                <c:pt idx="17">
                  <c:v>112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51036352"/>
        <c:axId val="26800993"/>
      </c:lineChart>
      <c:catAx>
        <c:axId val="510363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latin typeface="Calibri"/>
                  </a:rPr>
                  <a:t>Month and Year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6800993"/>
        <c:crosses val="autoZero"/>
        <c:auto val="1"/>
        <c:lblAlgn val="ctr"/>
        <c:lblOffset val="100"/>
      </c:catAx>
      <c:valAx>
        <c:axId val="2680099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latin typeface="Calibri"/>
                  </a:rPr>
                  <a:t>Numbers of Employees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1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1036352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barChart>
        <c:barDir val="bar"/>
        <c:grouping val="clustered"/>
        <c:varyColors val="0"/>
        <c:ser>
          <c:idx val="0"/>
          <c:order val="0"/>
          <c:tx>
            <c:strRef>
              <c:f>Sheet5!$F$3</c:f>
              <c:strCache>
                <c:ptCount val="1"/>
                <c:pt idx="0">
                  <c:v>Count - Name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Sheet5!$E$4:$E$9</c:f>
              <c:strCache>
                <c:ptCount val="6"/>
                <c:pt idx="0">
                  <c:v>Procurement</c:v>
                </c:pt>
                <c:pt idx="1">
                  <c:v>Website</c:v>
                </c:pt>
                <c:pt idx="2">
                  <c:v>Finance</c:v>
                </c:pt>
                <c:pt idx="3">
                  <c:v>Sales</c:v>
                </c:pt>
                <c:pt idx="4">
                  <c:v>HR</c:v>
                </c:pt>
                <c:pt idx="5">
                  <c:v>Total Result</c:v>
                </c:pt>
              </c:strCache>
            </c:strRef>
          </c:cat>
          <c:val>
            <c:numRef>
              <c:f>Sheet5!$F$4:$F$9</c:f>
              <c:numCache>
                <c:formatCode>General</c:formatCode>
                <c:ptCount val="6"/>
                <c:pt idx="0">
                  <c:v>29</c:v>
                </c:pt>
                <c:pt idx="1">
                  <c:v>27</c:v>
                </c:pt>
                <c:pt idx="2">
                  <c:v>19</c:v>
                </c:pt>
                <c:pt idx="3">
                  <c:v>14</c:v>
                </c:pt>
                <c:pt idx="4">
                  <c:v>4</c:v>
                </c:pt>
                <c:pt idx="5">
                  <c:v>93</c:v>
                </c:pt>
              </c:numCache>
            </c:numRef>
          </c:val>
        </c:ser>
        <c:gapWidth val="36"/>
        <c:overlap val="0"/>
        <c:axId val="2330624"/>
        <c:axId val="27125464"/>
      </c:barChart>
      <c:catAx>
        <c:axId val="233062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7125464"/>
        <c:crosses val="autoZero"/>
        <c:auto val="1"/>
        <c:lblAlgn val="ctr"/>
        <c:lblOffset val="100"/>
      </c:catAx>
      <c:valAx>
        <c:axId val="271254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30624"/>
        <c:crosses val="autoZero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Count - Name</c:v>
                </c:pt>
              </c:strCache>
            </c:strRef>
          </c:tx>
          <c:spPr>
            <a:solidFill>
              <a:srgbClr val="f4b084"/>
            </a:solidFill>
            <a:ln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Sheet5!$A$4:$A$9</c:f>
              <c:strCache>
                <c:ptCount val="6"/>
                <c:pt idx="0">
                  <c:v>Procurement</c:v>
                </c:pt>
                <c:pt idx="1">
                  <c:v>Website</c:v>
                </c:pt>
                <c:pt idx="2">
                  <c:v>Finance</c:v>
                </c:pt>
                <c:pt idx="3">
                  <c:v>Sales</c:v>
                </c:pt>
                <c:pt idx="4">
                  <c:v>HR</c:v>
                </c:pt>
                <c:pt idx="5">
                  <c:v>Total Result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6"/>
                <c:pt idx="0">
                  <c:v>27</c:v>
                </c:pt>
                <c:pt idx="1">
                  <c:v>27</c:v>
                </c:pt>
                <c:pt idx="2">
                  <c:v>19</c:v>
                </c:pt>
                <c:pt idx="3">
                  <c:v>14</c:v>
                </c:pt>
                <c:pt idx="4">
                  <c:v>4</c:v>
                </c:pt>
                <c:pt idx="5">
                  <c:v>91</c:v>
                </c:pt>
              </c:numCache>
            </c:numRef>
          </c:val>
        </c:ser>
        <c:gapWidth val="36"/>
        <c:overlap val="0"/>
        <c:axId val="41005560"/>
        <c:axId val="81219659"/>
      </c:barChart>
      <c:catAx>
        <c:axId val="410055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219659"/>
        <c:crosses val="autoZero"/>
        <c:auto val="1"/>
        <c:lblAlgn val="ctr"/>
        <c:lblOffset val="100"/>
      </c:catAx>
      <c:valAx>
        <c:axId val="812196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1005560"/>
        <c:crosses val="autoZero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12</xdr:col>
      <xdr:colOff>619560</xdr:colOff>
      <xdr:row>115</xdr:row>
      <xdr:rowOff>9360</xdr:rowOff>
    </xdr:from>
    <xdr:to>
      <xdr:col>22</xdr:col>
      <xdr:colOff>95040</xdr:colOff>
      <xdr:row>134</xdr:row>
      <xdr:rowOff>104400</xdr:rowOff>
    </xdr:to>
    <xdr:sp>
      <xdr:nvSpPr>
        <xdr:cNvPr id="0" name="CustomShape 1"/>
        <xdr:cNvSpPr/>
      </xdr:nvSpPr>
      <xdr:spPr>
        <a:xfrm>
          <a:off x="13215240" y="21916800"/>
          <a:ext cx="6979320" cy="371448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Times New Roman"/>
            </a:rPr>
            <a:t>This chart isn't available in your version of Excel.</a:t>
          </a:r>
          <a:endParaRPr b="0" lang="en-US" sz="1100" spc="-1" strike="noStrike">
            <a:latin typeface="Times New Roman"/>
          </a:endParaRPr>
        </a:p>
        <a:p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13</xdr:col>
      <xdr:colOff>219600</xdr:colOff>
      <xdr:row>31</xdr:row>
      <xdr:rowOff>28440</xdr:rowOff>
    </xdr:from>
    <xdr:to>
      <xdr:col>17</xdr:col>
      <xdr:colOff>533520</xdr:colOff>
      <xdr:row>44</xdr:row>
      <xdr:rowOff>18720</xdr:rowOff>
    </xdr:to>
    <xdr:sp>
      <xdr:nvSpPr>
        <xdr:cNvPr id="1" name="CustomShape 1"/>
        <xdr:cNvSpPr/>
      </xdr:nvSpPr>
      <xdr:spPr>
        <a:xfrm>
          <a:off x="13903560" y="5933880"/>
          <a:ext cx="3716280" cy="246672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Times New Roman"/>
            </a:rPr>
            <a:t>This chart isn't available in your version of Excel.</a:t>
          </a:r>
          <a:endParaRPr b="0" lang="en-US" sz="1100" spc="-1" strike="noStrike">
            <a:latin typeface="Times New Roman"/>
          </a:endParaRPr>
        </a:p>
        <a:p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552600</xdr:colOff>
      <xdr:row>1</xdr:row>
      <xdr:rowOff>0</xdr:rowOff>
    </xdr:from>
    <xdr:to>
      <xdr:col>9</xdr:col>
      <xdr:colOff>590400</xdr:colOff>
      <xdr:row>18</xdr:row>
      <xdr:rowOff>171000</xdr:rowOff>
    </xdr:to>
    <xdr:sp>
      <xdr:nvSpPr>
        <xdr:cNvPr id="2" name="CustomShape 1"/>
        <xdr:cNvSpPr/>
      </xdr:nvSpPr>
      <xdr:spPr>
        <a:xfrm>
          <a:off x="552600" y="190440"/>
          <a:ext cx="5461200" cy="340956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Times New Roman"/>
            </a:rPr>
            <a:t>This chart isn't available in your version of Excel.</a:t>
          </a:r>
          <a:endParaRPr b="0" lang="en-US" sz="1100" spc="-1" strike="noStrike">
            <a:latin typeface="Times New Roman"/>
          </a:endParaRPr>
        </a:p>
        <a:p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10</xdr:col>
      <xdr:colOff>581040</xdr:colOff>
      <xdr:row>1</xdr:row>
      <xdr:rowOff>19080</xdr:rowOff>
    </xdr:from>
    <xdr:to>
      <xdr:col>17</xdr:col>
      <xdr:colOff>9360</xdr:colOff>
      <xdr:row>18</xdr:row>
      <xdr:rowOff>142560</xdr:rowOff>
    </xdr:to>
    <xdr:sp>
      <xdr:nvSpPr>
        <xdr:cNvPr id="3" name="CustomShape 1"/>
        <xdr:cNvSpPr/>
      </xdr:nvSpPr>
      <xdr:spPr>
        <a:xfrm>
          <a:off x="6607080" y="209520"/>
          <a:ext cx="3646440" cy="336204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r>
            <a:rPr b="0" lang="en-US" sz="1100" spc="-1" strike="noStrike">
              <a:latin typeface="Times New Roman"/>
            </a:rPr>
            <a:t>This chart isn't available in your version of Excel.</a:t>
          </a:r>
          <a:endParaRPr b="0" lang="en-US" sz="1100" spc="-1" strike="noStrike">
            <a:latin typeface="Times New Roman"/>
          </a:endParaRPr>
        </a:p>
        <a:p>
          <a:endParaRPr b="0" lang="en-U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743040</xdr:colOff>
      <xdr:row>0</xdr:row>
      <xdr:rowOff>171360</xdr:rowOff>
    </xdr:from>
    <xdr:to>
      <xdr:col>6</xdr:col>
      <xdr:colOff>809280</xdr:colOff>
      <xdr:row>6</xdr:row>
      <xdr:rowOff>142560</xdr:rowOff>
    </xdr:to>
    <xdr:sp>
      <xdr:nvSpPr>
        <xdr:cNvPr id="4" name="CustomShape 1"/>
        <xdr:cNvSpPr/>
      </xdr:nvSpPr>
      <xdr:spPr>
        <a:xfrm>
          <a:off x="4209480" y="171360"/>
          <a:ext cx="1929960" cy="1114200"/>
        </a:xfrm>
        <a:prstGeom prst="rect">
          <a:avLst/>
        </a:prstGeom>
        <a:solidFill>
          <a:srgbClr val="ffffff"/>
        </a:solidFill>
        <a:ln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12</xdr:col>
      <xdr:colOff>304560</xdr:colOff>
      <xdr:row>15</xdr:row>
      <xdr:rowOff>75960</xdr:rowOff>
    </xdr:to>
    <xdr:graphicFrame>
      <xdr:nvGraphicFramePr>
        <xdr:cNvPr id="5" name="Chart 1"/>
        <xdr:cNvGraphicFramePr/>
      </xdr:nvGraphicFramePr>
      <xdr:xfrm>
        <a:off x="4380120" y="190440"/>
        <a:ext cx="45226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0</xdr:row>
      <xdr:rowOff>181080</xdr:rowOff>
    </xdr:from>
    <xdr:to>
      <xdr:col>13</xdr:col>
      <xdr:colOff>47160</xdr:colOff>
      <xdr:row>19</xdr:row>
      <xdr:rowOff>180720</xdr:rowOff>
    </xdr:to>
    <xdr:graphicFrame>
      <xdr:nvGraphicFramePr>
        <xdr:cNvPr id="6" name="Chart 1"/>
        <xdr:cNvGraphicFramePr/>
      </xdr:nvGraphicFramePr>
      <xdr:xfrm>
        <a:off x="3556440" y="181080"/>
        <a:ext cx="5470560" cy="3619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14</xdr:col>
      <xdr:colOff>0</xdr:colOff>
      <xdr:row>4</xdr:row>
      <xdr:rowOff>9360</xdr:rowOff>
    </xdr:from>
    <xdr:to>
      <xdr:col>20</xdr:col>
      <xdr:colOff>9000</xdr:colOff>
      <xdr:row>14</xdr:row>
      <xdr:rowOff>18360</xdr:rowOff>
    </xdr:to>
    <xdr:sp>
      <xdr:nvSpPr>
        <xdr:cNvPr id="7" name="CustomShape 1"/>
        <xdr:cNvSpPr/>
      </xdr:nvSpPr>
      <xdr:spPr>
        <a:xfrm>
          <a:off x="9582480" y="771120"/>
          <a:ext cx="3624840" cy="191412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360">
          <a:solidFill>
            <a:schemeClr val="lt1">
              <a:shade val="50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>
          <a:noAutofit/>
        </a:bodyPr>
        <a:p>
          <a:pPr algn="ctr">
            <a:lnSpc>
              <a:spcPct val="100000"/>
            </a:lnSpc>
          </a:pPr>
          <a:r>
            <a:rPr b="1" lang="en-US" sz="1200" spc="-1" strike="noStrike">
              <a:solidFill>
                <a:srgbClr val="000000"/>
              </a:solidFill>
              <a:latin typeface="Calibri"/>
              <a:ea typeface="Calibri"/>
            </a:rPr>
            <a:t>Insight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solidFill>
                <a:srgbClr val="000000"/>
              </a:solidFill>
              <a:latin typeface="Calibri"/>
              <a:ea typeface="Calibri"/>
            </a:rPr>
            <a:t>              </a:t>
          </a:r>
          <a:r>
            <a:rPr b="0" lang="en-US" sz="1200" spc="-1" strike="noStrike">
              <a:solidFill>
                <a:srgbClr val="000000"/>
              </a:solidFill>
              <a:latin typeface="Calibri"/>
              <a:ea typeface="Calibri"/>
            </a:rPr>
            <a:t>Over the analyzed period, the company's workforce shows both growth and contactions phases. employee count decreased after 2020, stabilized throught 2021,  and reached its peak in 2022,  indicating a temporary expansion phase before a slight reduction in 2023.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19080</xdr:colOff>
      <xdr:row>21</xdr:row>
      <xdr:rowOff>0</xdr:rowOff>
    </xdr:from>
    <xdr:to>
      <xdr:col>12</xdr:col>
      <xdr:colOff>599760</xdr:colOff>
      <xdr:row>22</xdr:row>
      <xdr:rowOff>142560</xdr:rowOff>
    </xdr:to>
    <xdr:sp>
      <xdr:nvSpPr>
        <xdr:cNvPr id="8" name="CustomShape 1"/>
        <xdr:cNvSpPr/>
      </xdr:nvSpPr>
      <xdr:spPr>
        <a:xfrm>
          <a:off x="3575520" y="4000320"/>
          <a:ext cx="5401440" cy="3330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360">
          <a:solidFill>
            <a:schemeClr val="lt1">
              <a:shade val="50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>
          <a:noAutofit/>
        </a:bodyPr>
        <a:p>
          <a:pPr>
            <a:lnSpc>
              <a:spcPct val="100000"/>
            </a:lnSpc>
          </a:pPr>
          <a:r>
            <a:rPr b="1" lang="en-US" sz="1200" spc="-1" strike="noStrike">
              <a:solidFill>
                <a:srgbClr val="000000"/>
              </a:solidFill>
              <a:latin typeface="Calibri"/>
              <a:ea typeface="Calibri"/>
            </a:rPr>
            <a:t>                                 </a:t>
          </a:r>
          <a:r>
            <a:rPr b="1" lang="en-US" sz="1200" spc="-1" strike="noStrike">
              <a:solidFill>
                <a:srgbClr val="000000"/>
              </a:solidFill>
              <a:latin typeface="Calibri"/>
              <a:ea typeface="Calibri"/>
            </a:rPr>
            <a:t>Data source : HR employee records, 2020 - 2023.</a:t>
          </a:r>
          <a:endParaRPr b="0" lang="en-US" sz="1200" spc="-1" strike="noStrike">
            <a:latin typeface="Times New Roman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590400</xdr:colOff>
      <xdr:row>6</xdr:row>
      <xdr:rowOff>181080</xdr:rowOff>
    </xdr:from>
    <xdr:to>
      <xdr:col>6</xdr:col>
      <xdr:colOff>9000</xdr:colOff>
      <xdr:row>21</xdr:row>
      <xdr:rowOff>18720</xdr:rowOff>
    </xdr:to>
    <xdr:graphicFrame>
      <xdr:nvGraphicFramePr>
        <xdr:cNvPr id="9" name="Chart 1"/>
        <xdr:cNvGraphicFramePr/>
      </xdr:nvGraphicFramePr>
      <xdr:xfrm>
        <a:off x="590400" y="2523960"/>
        <a:ext cx="4255200" cy="269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590400</xdr:colOff>
      <xdr:row>7</xdr:row>
      <xdr:rowOff>0</xdr:rowOff>
    </xdr:from>
    <xdr:to>
      <xdr:col>12</xdr:col>
      <xdr:colOff>1290240</xdr:colOff>
      <xdr:row>21</xdr:row>
      <xdr:rowOff>47160</xdr:rowOff>
    </xdr:to>
    <xdr:graphicFrame>
      <xdr:nvGraphicFramePr>
        <xdr:cNvPr id="10" name="Chart 2"/>
        <xdr:cNvGraphicFramePr/>
      </xdr:nvGraphicFramePr>
      <xdr:xfrm>
        <a:off x="6029640" y="2533320"/>
        <a:ext cx="424620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6</xdr:col>
      <xdr:colOff>580680</xdr:colOff>
      <xdr:row>0</xdr:row>
      <xdr:rowOff>123480</xdr:rowOff>
    </xdr:from>
    <xdr:to>
      <xdr:col>6</xdr:col>
      <xdr:colOff>599760</xdr:colOff>
      <xdr:row>21</xdr:row>
      <xdr:rowOff>123480</xdr:rowOff>
    </xdr:to>
    <xdr:sp>
      <xdr:nvSpPr>
        <xdr:cNvPr id="11" name="Line 1"/>
        <xdr:cNvSpPr/>
      </xdr:nvSpPr>
      <xdr:spPr>
        <a:xfrm flipH="1">
          <a:off x="5417280" y="123480"/>
          <a:ext cx="19080" cy="5200560"/>
        </a:xfrm>
        <a:prstGeom prst="line">
          <a:avLst/>
        </a:prstGeom>
        <a:ln>
          <a:prstDash val="dot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4" createdVersion="3">
  <cacheSource type="worksheet">
    <worksheetSource ref="B2:L186" sheet="All_Staff"/>
  </cacheSource>
  <cacheFields count="11">
    <cacheField name="Name" numFmtId="0">
      <sharedItems count="183">
        <s v="Abhaya Priyavardhan"/>
        <s v="Agnes Collicott"/>
        <s v="Agrata Rajarama"/>
        <s v="Akbar Sorabhjee"/>
        <s v="Allene Gobbet"/>
        <s v="Alta Kaszper"/>
        <s v="Amal Nimesh"/>
        <s v="Ambros Murthwaite"/>
        <s v="Amlankusum Rajabhushan"/>
        <s v="Andria Kimpton"/>
        <s v="Anjushri Chandiramani"/>
        <s v="Anumati Shyamari Meherhomji"/>
        <s v="Archibald Filliskirk"/>
        <s v="Ardhendu Abhichandra Jayakar"/>
        <s v="Asija Pothireddy"/>
        <s v="Ayog Chakrabarti"/>
        <s v="Bandhula Sathyanna"/>
        <s v="Barr Faughny"/>
        <s v="Baruna Ogale"/>
        <s v="Bennie Pepis"/>
        <s v="Benny Karolovsky"/>
        <s v="Bernie Gorges"/>
        <s v="Bev Lashley"/>
        <s v="Beverie Moffet"/>
        <s v="Bhuvan Pals"/>
        <s v="Bili Sizey"/>
        <s v="Brien Boise"/>
        <s v="Camilla Castle"/>
        <s v="Caro Chappel"/>
        <s v="Chandana Sannidhi Surnilla"/>
        <s v="Cherlyn Barter"/>
        <s v="Ches Bonnell"/>
        <s v="Chitrasen Laul"/>
        <s v="Collin Jagson"/>
        <s v="Constantino Espley"/>
        <s v="Crissie Cordel"/>
        <s v="Curtice Advani"/>
        <s v="Damayanti Thangavadivelu"/>
        <s v="Daruka Ghazali"/>
        <s v="Deepali Charan"/>
        <s v="Deepit Ranjana"/>
        <s v="Dell Molloy"/>
        <s v="Dennison Crosswaite"/>
        <s v="Devasree Fullara Saurin"/>
        <s v="Dhruv Manjunath"/>
        <s v="Dotty Strutley"/>
        <s v="Drusy MacCombe"/>
        <s v="Dyna Doucette"/>
        <s v="Ebonee Roxburgh"/>
        <s v="Elia Cockton"/>
        <s v="Enoch Dowrey"/>
        <s v="Erin Androsik"/>
        <s v="Esmaria Denecamp"/>
        <s v="Ewart Laphorn"/>
        <s v="Florinda Crace"/>
        <s v="Fullara Sushanti Mokate"/>
        <s v="Gangadutt Ragha"/>
        <s v="Geena Raghavanpillai"/>
        <s v="Gigi Bohling"/>
        <s v="Godavari Veena"/>
        <s v="Gray Seamon"/>
        <s v="Gretchen Callow"/>
        <s v="Gumwant Veera"/>
        <s v="Gunar Cockshoot"/>
        <s v="Halimeda Kuscha"/>
        <s v="Heer Pennathur"/>
        <s v="Hemavati Muthiah"/>
        <s v="Hinda Label"/>
        <s v="Hogan Iles"/>
        <s v="Hoyt D'Alesco"/>
        <s v="Hridaynath Tendulkar"/>
        <s v="Husein Augar"/>
        <s v="Hyacinthie Braybrooke"/>
        <s v="Ilesh Dasgupta"/>
        <s v="Indu Varada Sumedh"/>
        <s v="Jagajeet Viraj"/>
        <s v="Jaishree Atasi Yavatkar"/>
        <s v="Jan Morforth"/>
        <s v="Janene Hairsine"/>
        <s v="Jehu Rudeforth"/>
        <s v="Kaine Padly"/>
        <s v="Kaishori Harathi Kateel"/>
        <s v="Kamalakshi Mukundan"/>
        <s v="Kantimoy Pritish"/>
        <s v="Karlen McCaffrey"/>
        <s v="Karuna Pashupathy"/>
        <s v="Kassi Jonson"/>
        <s v="Kath Bletsoe"/>
        <s v="Kaye Crocroft"/>
        <s v="Kelci Walkden"/>
        <s v="Kellsie Waby"/>
        <s v="Kevalkumar Solanki"/>
        <s v="Kissiah Maydway"/>
        <s v="Krishnakanta Vellanki"/>
        <s v="Krittika Gaekwad"/>
        <s v="Kulbhushan Moorthy"/>
        <s v="Kunja Prashanta Vibha"/>
        <s v="Lalit Kothari"/>
        <s v="Leilah Yesinin"/>
        <s v="Lilyan Klimpt"/>
        <s v="Lindy Guillet"/>
        <s v="Madelene Upcott"/>
        <s v="Madge McCloughen"/>
        <s v="Madhavdas Buhpathi"/>
        <s v="Madhumati Gazala Soumitra"/>
        <s v="Mahalia Larcher"/>
        <s v="Mahindra Sreedharan"/>
        <s v="Makshi Vinutha"/>
        <s v="Mallorie Waber"/>
        <s v="Manjusri Ruchi"/>
        <s v="Mardav Ramaswami"/>
        <s v="Marney O'Breen"/>
        <s v="Merrilee Plenty"/>
        <s v="Mirium Seemantini Shivakumar"/>
        <s v="Mithil Nadkarni"/>
        <s v="Mollie Hanway"/>
        <s v="Murry Dryburgh"/>
        <s v="My Hanscome"/>
        <s v="Myer McCory"/>
        <s v="Nanak Sapna"/>
        <s v="Narois Motiwala"/>
        <s v="Niall Selesnick"/>
        <s v="Oby Sorrel"/>
        <s v="Oran Buxcy"/>
        <s v="Orton Livick"/>
        <s v="Piyali Mahanthapa"/>
        <s v="Pragya Nilufar"/>
        <s v="Pratigya Rema"/>
        <s v="Prerana Nishita"/>
        <s v="Purnendu Vijayarangan"/>
        <s v="Rafaelita Blaksland"/>
        <s v="Rameshwari Chikodi"/>
        <s v="Ramnath Ravuri"/>
        <s v="Ranajay Kailashnath Richa"/>
        <s v="Roddy Speechley"/>
        <s v="Rukma Vinita"/>
        <s v="Rupak Mehra"/>
        <s v="Rushil Kripa"/>
        <s v="Sahas Sanabhi Shrikant"/>
        <s v="Sahila Chandrasekhar"/>
        <s v="Sameer Shashank Sapra"/>
        <s v="Sanchali Shirish"/>
        <s v="Sarayu Ragunathan"/>
        <s v="Sarojini Naueshwara"/>
        <s v="Sartaj Probal"/>
        <s v="Satyendra Venkatadri"/>
        <s v="Sawini Chandan"/>
        <s v="Shari McNee"/>
        <s v="Shattesh Utpat"/>
        <s v="Shayne Stegel"/>
        <s v="Shekhar Eswara"/>
        <s v="Shevantilal Muppala"/>
        <s v="Shiuli Sapna"/>
        <s v="Shobhana Samuel"/>
        <s v="Shreela Ramasubraman"/>
        <s v="Shubhra Potla"/>
        <s v="Shulabh Qutub Sundaramoorthy"/>
        <s v="Sibyl Dunkirk"/>
        <s v="Simon Kembery"/>
        <s v="Suchira Bhanupriya Tapti"/>
        <s v="Sukhdev Nageshwar"/>
        <s v="Tarala Vishaal"/>
        <s v="Tatum Hush"/>
        <s v="Tawnya Tickel"/>
        <s v="Teressa Udden"/>
        <s v="Torrance Collier"/>
        <s v="Tracy Renad"/>
        <s v="Udyan Lanka"/>
        <s v="Upendra Swati"/>
        <s v="Valentia Etteridge"/>
        <s v="Van Tuxwell"/>
        <s v="Vanmala Shriharsha"/>
        <s v="Vasu Nandin"/>
        <s v="Vic Radolf"/>
        <s v="Vinanti Choudhari"/>
        <s v="Violante Courtonne"/>
        <s v="Virginia McConville"/>
        <s v="Waheeda Vasuman"/>
        <s v="William Reeveley"/>
        <s v="Wilone O'Kielt"/>
        <s v="Yagna Sujeev"/>
        <s v="Yauvani Tarpa"/>
        <s v="Zach Polon"/>
      </sharedItems>
    </cacheField>
    <cacheField name="Gender" numFmtId="0">
      <sharedItems count="3">
        <s v="Female"/>
        <s v="Male"/>
        <s v="Others"/>
      </sharedItems>
    </cacheField>
    <cacheField name="Department" numFmtId="0">
      <sharedItems count="5">
        <s v="Finance"/>
        <s v="HR"/>
        <s v="Procurement"/>
        <s v="Sales"/>
        <s v="Website"/>
      </sharedItems>
    </cacheField>
    <cacheField name="Age" numFmtId="0">
      <sharedItems containsSemiMixedTypes="0" containsString="0" containsNumber="1" containsInteger="1" minValue="19" maxValue="46" count="25"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40"/>
        <n v="42"/>
        <n v="43"/>
        <n v="44"/>
        <n v="46"/>
      </sharedItems>
    </cacheField>
    <cacheField name="Date Joined" numFmtId="0">
      <sharedItems containsSemiMixedTypes="0" containsNonDate="0" containsDate="1" containsString="0" minDate="2020-05-07T00:00:00" maxDate="2023-04-29T00:00:00" count="161">
        <d v="2020-05-07T00:00:00"/>
        <d v="2020-05-11T00:00:00"/>
        <d v="2020-05-29T00:00:00"/>
        <d v="2020-06-24T00:00:00"/>
        <d v="2020-07-07T00:00:00"/>
        <d v="2020-07-11T00:00:00"/>
        <d v="2020-07-29T00:00:00"/>
        <d v="2020-07-30T00:00:00"/>
        <d v="2020-08-18T00:00:00"/>
        <d v="2020-08-24T00:00:00"/>
        <d v="2020-08-30T00:00:00"/>
        <d v="2020-09-10T00:00:00"/>
        <d v="2020-09-11T00:00:00"/>
        <d v="2020-09-13T00:00:00"/>
        <d v="2020-09-29T00:00:00"/>
        <d v="2020-09-30T00:00:00"/>
        <d v="2020-10-15T00:00:00"/>
        <d v="2020-10-18T00:00:00"/>
        <d v="2020-10-20T00:00:00"/>
        <d v="2020-10-25T00:00:00"/>
        <d v="2020-10-30T00:00:00"/>
        <d v="2020-11-09T00:00:00"/>
        <d v="2020-11-10T00:00:00"/>
        <d v="2020-11-11T00:00:00"/>
        <d v="2020-11-13T00:00:00"/>
        <d v="2020-11-29T00:00:00"/>
        <d v="2020-12-09T00:00:00"/>
        <d v="2020-12-15T00:00:00"/>
        <d v="2020-12-16T00:00:00"/>
        <d v="2020-12-18T00:00:00"/>
        <d v="2020-12-20T00:00:00"/>
        <d v="2020-12-25T00:00:00"/>
        <d v="2021-01-08T00:00:00"/>
        <d v="2021-01-09T00:00:00"/>
        <d v="2021-01-16T00:00:00"/>
        <d v="2021-01-18T00:00:00"/>
        <d v="2021-01-22T00:00:00"/>
        <d v="2021-01-29T00:00:00"/>
        <d v="2021-02-09T00:00:00"/>
        <d v="2021-02-15T00:00:00"/>
        <d v="2021-02-16T00:00:00"/>
        <d v="2021-02-26T00:00:00"/>
        <d v="2021-03-01T00:00:00"/>
        <d v="2021-03-08T00:00:00"/>
        <d v="2021-03-13T00:00:00"/>
        <d v="2021-03-16T00:00:00"/>
        <d v="2021-03-17T00:00:00"/>
        <d v="2021-03-18T00:00:00"/>
        <d v="2021-03-21T00:00:00"/>
        <d v="2021-03-22T00:00:00"/>
        <d v="2021-04-07T00:00:00"/>
        <d v="2021-04-10T00:00:00"/>
        <d v="2021-04-26T00:00:00"/>
        <d v="2021-04-27T00:00:00"/>
        <d v="2021-04-30T00:00:00"/>
        <d v="2021-05-01T00:00:00"/>
        <d v="2021-05-04T00:00:00"/>
        <d v="2021-05-06T00:00:00"/>
        <d v="2021-05-08T00:00:00"/>
        <d v="2021-05-12T00:00:00"/>
        <d v="2021-05-13T00:00:00"/>
        <d v="2021-05-17T00:00:00"/>
        <d v="2021-05-21T00:00:00"/>
        <d v="2021-05-22T00:00:00"/>
        <d v="2021-05-23T00:00:00"/>
        <d v="2021-06-03T00:00:00"/>
        <d v="2021-06-07T00:00:00"/>
        <d v="2021-06-10T00:00:00"/>
        <d v="2021-06-27T00:00:00"/>
        <d v="2021-06-28T00:00:00"/>
        <d v="2021-06-30T00:00:00"/>
        <d v="2021-07-01T00:00:00"/>
        <d v="2021-07-04T00:00:00"/>
        <d v="2021-07-06T00:00:00"/>
        <d v="2021-07-07T00:00:00"/>
        <d v="2021-07-08T00:00:00"/>
        <d v="2021-07-11T00:00:00"/>
        <d v="2021-07-12T00:00:00"/>
        <d v="2021-07-20T00:00:00"/>
        <d v="2021-07-23T00:00:00"/>
        <d v="2021-07-26T00:00:00"/>
        <d v="2021-08-03T00:00:00"/>
        <d v="2021-08-17T00:00:00"/>
        <d v="2021-08-25T00:00:00"/>
        <d v="2021-08-28T00:00:00"/>
        <d v="2021-09-01T00:00:00"/>
        <d v="2021-09-06T00:00:00"/>
        <d v="2021-09-07T00:00:00"/>
        <d v="2021-09-09T00:00:00"/>
        <d v="2021-09-11T00:00:00"/>
        <d v="2021-09-12T00:00:00"/>
        <d v="2021-09-20T00:00:00"/>
        <d v="2021-09-26T00:00:00"/>
        <d v="2021-09-29T00:00:00"/>
        <d v="2021-10-07T00:00:00"/>
        <d v="2021-10-17T00:00:00"/>
        <d v="2021-10-25T00:00:00"/>
        <d v="2021-11-06T00:00:00"/>
        <d v="2021-11-09T00:00:00"/>
        <d v="2021-11-11T00:00:00"/>
        <d v="2021-11-29T00:00:00"/>
        <d v="2021-12-05T00:00:00"/>
        <d v="2021-12-07T00:00:00"/>
        <d v="2021-12-14T00:00:00"/>
        <d v="2021-12-17T00:00:00"/>
        <d v="2021-12-19T00:00:00"/>
        <d v="2021-12-20T00:00:00"/>
        <d v="2021-12-28T00:00:00"/>
        <d v="2022-01-06T00:00:00"/>
        <d v="2022-01-10T00:00:00"/>
        <d v="2022-01-29T00:00:00"/>
        <d v="2022-02-02T00:00:00"/>
        <d v="2022-02-05T00:00:00"/>
        <d v="2022-02-12T00:00:00"/>
        <d v="2022-02-14T00:00:00"/>
        <d v="2022-02-15T00:00:00"/>
        <d v="2022-02-17T00:00:00"/>
        <d v="2022-02-19T00:00:00"/>
        <d v="2022-02-20T00:00:00"/>
        <d v="2022-02-27T00:00:00"/>
        <d v="2022-02-28T00:00:00"/>
        <d v="2022-03-05T00:00:00"/>
        <d v="2022-03-10T00:00:00"/>
        <d v="2022-03-13T00:00:00"/>
        <d v="2022-03-20T00:00:00"/>
        <d v="2022-03-22T00:00:00"/>
        <d v="2022-03-29T00:00:00"/>
        <d v="2022-04-02T00:00:00"/>
        <d v="2022-04-09T00:00:00"/>
        <d v="2022-04-12T00:00:00"/>
        <d v="2022-04-14T00:00:00"/>
        <d v="2022-04-15T00:00:00"/>
        <d v="2022-04-19T00:00:00"/>
        <d v="2022-04-27T00:00:00"/>
        <d v="2022-05-02T00:00:00"/>
        <d v="2022-05-05T00:00:00"/>
        <d v="2022-05-13T00:00:00"/>
        <d v="2022-05-16T00:00:00"/>
        <d v="2022-05-20T00:00:00"/>
        <d v="2022-05-22T00:00:00"/>
        <d v="2022-06-01T00:00:00"/>
        <d v="2022-06-06T00:00:00"/>
        <d v="2022-06-09T00:00:00"/>
        <d v="2022-06-12T00:00:00"/>
        <d v="2022-06-14T00:00:00"/>
        <d v="2022-06-15T00:00:00"/>
        <d v="2022-06-19T00:00:00"/>
        <d v="2022-07-02T00:00:00"/>
        <d v="2022-07-05T00:00:00"/>
        <d v="2022-07-16T00:00:00"/>
        <d v="2022-07-20T00:00:00"/>
        <d v="2022-08-01T00:00:00"/>
        <d v="2022-08-06T00:00:00"/>
        <d v="2022-08-16T00:00:00"/>
        <d v="2022-08-27T00:00:00"/>
        <d v="2022-09-05T00:00:00"/>
        <d v="2022-09-16T00:00:00"/>
        <d v="2022-10-16T00:00:00"/>
        <d v="2022-10-27T00:00:00"/>
        <d v="2023-02-28T00:00:00"/>
        <d v="2023-04-29T00:00:00"/>
      </sharedItems>
    </cacheField>
    <cacheField name="Salary" numFmtId="0">
      <sharedItems containsSemiMixedTypes="0" containsString="0" containsNumber="1" containsInteger="1" minValue="33920" maxValue="119110" count="90">
        <n v="33920"/>
        <n v="34980"/>
        <n v="36040"/>
        <n v="37920"/>
        <n v="40400"/>
        <n v="41570"/>
        <n v="41980"/>
        <n v="43510"/>
        <n v="43840"/>
        <n v="45510"/>
        <n v="47360"/>
        <n v="48170"/>
        <n v="48530"/>
        <n v="48950"/>
        <n v="48980"/>
        <n v="49630"/>
        <n v="52610"/>
        <n v="53240"/>
        <n v="53540"/>
        <n v="53870"/>
        <n v="54970"/>
        <n v="56870"/>
        <n v="57090"/>
        <n v="58100"/>
        <n v="58940"/>
        <n v="58960"/>
        <n v="59430"/>
        <n v="60130"/>
        <n v="60570"/>
        <n v="62780"/>
        <n v="64000"/>
        <n v="65360"/>
        <n v="65700"/>
        <n v="65920"/>
        <n v="67910"/>
        <n v="67950"/>
        <n v="68900"/>
        <n v="69070"/>
        <n v="69120"/>
        <n v="69710"/>
        <n v="70270"/>
        <n v="70610"/>
        <n v="71380"/>
        <n v="74550"/>
        <n v="75000"/>
        <n v="75280"/>
        <n v="75480"/>
        <n v="75880"/>
        <n v="75970"/>
        <n v="76900"/>
        <n v="78390"/>
        <n v="78540"/>
        <n v="79570"/>
        <n v="80700"/>
        <n v="83750"/>
        <n v="85000"/>
        <n v="86570"/>
        <n v="87620"/>
        <n v="88050"/>
        <n v="90700"/>
        <n v="91310"/>
        <n v="91650"/>
        <n v="92450"/>
        <n v="92700"/>
        <n v="96140"/>
        <n v="96800"/>
        <n v="99750"/>
        <n v="99970"/>
        <n v="100420"/>
        <n v="103550"/>
        <n v="104120"/>
        <n v="104410"/>
        <n v="104770"/>
        <n v="106460"/>
        <n v="107700"/>
        <n v="109160"/>
        <n v="109190"/>
        <n v="112110"/>
        <n v="112570"/>
        <n v="112650"/>
        <n v="112780"/>
        <n v="113280"/>
        <n v="114180"/>
        <n v="114870"/>
        <n v="114890"/>
        <n v="115440"/>
        <n v="115920"/>
        <n v="118100"/>
        <n v="118840"/>
        <n v="119110"/>
      </sharedItems>
    </cacheField>
    <cacheField name="Rating" numFmtId="0">
      <sharedItems count="5">
        <s v="Above average"/>
        <s v="Average"/>
        <s v="Exceptional"/>
        <s v="Poor"/>
        <s v="Very poor"/>
      </sharedItems>
    </cacheField>
    <cacheField name="Country" numFmtId="0">
      <sharedItems count="2">
        <s v="IND"/>
        <s v="NZ"/>
      </sharedItems>
    </cacheField>
    <cacheField name="Tenure" numFmtId="0">
      <sharedItems containsSemiMixedTypes="0" containsString="0" containsNumber="1" containsInteger="1" minValue="923" maxValue="2010" count="161">
        <n v="923"/>
        <n v="983"/>
        <n v="1107"/>
        <n v="1118"/>
        <n v="1148"/>
        <n v="1159"/>
        <n v="1168"/>
        <n v="1179"/>
        <n v="1189"/>
        <n v="1194"/>
        <n v="1206"/>
        <n v="1210"/>
        <n v="1221"/>
        <n v="1224"/>
        <n v="1237"/>
        <n v="1241"/>
        <n v="1242"/>
        <n v="1244"/>
        <n v="1247"/>
        <n v="1250"/>
        <n v="1255"/>
        <n v="1265"/>
        <n v="1267"/>
        <n v="1271"/>
        <n v="1274"/>
        <n v="1282"/>
        <n v="1285"/>
        <n v="1290"/>
        <n v="1298"/>
        <n v="1302"/>
        <n v="1303"/>
        <n v="1305"/>
        <n v="1308"/>
        <n v="1315"/>
        <n v="1319"/>
        <n v="1326"/>
        <n v="1328"/>
        <n v="1335"/>
        <n v="1338"/>
        <n v="1343"/>
        <n v="1348"/>
        <n v="1349"/>
        <n v="1356"/>
        <n v="1357"/>
        <n v="1359"/>
        <n v="1361"/>
        <n v="1362"/>
        <n v="1364"/>
        <n v="1371"/>
        <n v="1374"/>
        <n v="1378"/>
        <n v="1397"/>
        <n v="1401"/>
        <n v="1410"/>
        <n v="1418"/>
        <n v="1419"/>
        <n v="1421"/>
        <n v="1424"/>
        <n v="1431"/>
        <n v="1433"/>
        <n v="1439"/>
        <n v="1457"/>
        <n v="1459"/>
        <n v="1462"/>
        <n v="1474"/>
        <n v="1482"/>
        <n v="1492"/>
        <n v="1500"/>
        <n v="1503"/>
        <n v="1509"/>
        <n v="1517"/>
        <n v="1518"/>
        <n v="1520"/>
        <n v="1522"/>
        <n v="1523"/>
        <n v="1528"/>
        <n v="1532"/>
        <n v="1535"/>
        <n v="1543"/>
        <n v="1557"/>
        <n v="1565"/>
        <n v="1568"/>
        <n v="1571"/>
        <n v="1579"/>
        <n v="1580"/>
        <n v="1583"/>
        <n v="1584"/>
        <n v="1585"/>
        <n v="1587"/>
        <n v="1590"/>
        <n v="1591"/>
        <n v="1593"/>
        <n v="1594"/>
        <n v="1611"/>
        <n v="1614"/>
        <n v="1618"/>
        <n v="1629"/>
        <n v="1630"/>
        <n v="1631"/>
        <n v="1635"/>
        <n v="1639"/>
        <n v="1640"/>
        <n v="1644"/>
        <n v="1646"/>
        <n v="1648"/>
        <n v="1651"/>
        <n v="1652"/>
        <n v="1655"/>
        <n v="1656"/>
        <n v="1672"/>
        <n v="1675"/>
        <n v="1691"/>
        <n v="1692"/>
        <n v="1695"/>
        <n v="1696"/>
        <n v="1697"/>
        <n v="1700"/>
        <n v="1705"/>
        <n v="1712"/>
        <n v="1715"/>
        <n v="1725"/>
        <n v="1726"/>
        <n v="1732"/>
        <n v="1743"/>
        <n v="1750"/>
        <n v="1754"/>
        <n v="1756"/>
        <n v="1763"/>
        <n v="1764"/>
        <n v="1778"/>
        <n v="1783"/>
        <n v="1785"/>
        <n v="1787"/>
        <n v="1788"/>
        <n v="1794"/>
        <n v="1804"/>
        <n v="1820"/>
        <n v="1822"/>
        <n v="1823"/>
        <n v="1824"/>
        <n v="1834"/>
        <n v="1839"/>
        <n v="1844"/>
        <n v="1846"/>
        <n v="1849"/>
        <n v="1864"/>
        <n v="1865"/>
        <n v="1881"/>
        <n v="1883"/>
        <n v="1884"/>
        <n v="1895"/>
        <n v="1901"/>
        <n v="1907"/>
        <n v="1926"/>
        <n v="1927"/>
        <n v="1945"/>
        <n v="1949"/>
        <n v="1962"/>
        <n v="1988"/>
        <n v="2006"/>
        <n v="2010"/>
      </sharedItems>
    </cacheField>
    <cacheField name="Bonus" numFmtId="0">
      <sharedItems containsSemiMixedTypes="0" containsString="0" containsNumber="1" containsInteger="1" minValue="1018" maxValue="3574" count="88">
        <n v="1018"/>
        <n v="1050"/>
        <n v="1082"/>
        <n v="1138"/>
        <n v="1212"/>
        <n v="1248"/>
        <n v="1260"/>
        <n v="1306"/>
        <n v="1316"/>
        <n v="1366"/>
        <n v="1421"/>
        <n v="1446"/>
        <n v="1456"/>
        <n v="1469"/>
        <n v="1470"/>
        <n v="1489"/>
        <n v="1579"/>
        <n v="1598"/>
        <n v="1607"/>
        <n v="1617"/>
        <n v="1650"/>
        <n v="1707"/>
        <n v="1713"/>
        <n v="1743"/>
        <n v="1769"/>
        <n v="1783"/>
        <n v="1804"/>
        <n v="1818"/>
        <n v="1884"/>
        <n v="1920"/>
        <n v="1961"/>
        <n v="1971"/>
        <n v="1978"/>
        <n v="2038"/>
        <n v="2039"/>
        <n v="2067"/>
        <n v="2073"/>
        <n v="2074"/>
        <n v="2092"/>
        <n v="2109"/>
        <n v="2119"/>
        <n v="2142"/>
        <n v="2237"/>
        <n v="2250"/>
        <n v="2259"/>
        <n v="2265"/>
        <n v="2277"/>
        <n v="2280"/>
        <n v="2307"/>
        <n v="2352"/>
        <n v="2357"/>
        <n v="2388"/>
        <n v="2421"/>
        <n v="2513"/>
        <n v="2550"/>
        <n v="2598"/>
        <n v="2629"/>
        <n v="2642"/>
        <n v="2721"/>
        <n v="2740"/>
        <n v="2750"/>
        <n v="2774"/>
        <n v="2781"/>
        <n v="2885"/>
        <n v="2904"/>
        <n v="2993"/>
        <n v="3000"/>
        <n v="3013"/>
        <n v="3107"/>
        <n v="3124"/>
        <n v="3133"/>
        <n v="3144"/>
        <n v="3194"/>
        <n v="3231"/>
        <n v="3275"/>
        <n v="3276"/>
        <n v="3364"/>
        <n v="3378"/>
        <n v="3380"/>
        <n v="3384"/>
        <n v="3399"/>
        <n v="3426"/>
        <n v="3447"/>
        <n v="3464"/>
        <n v="3478"/>
        <n v="3543"/>
        <n v="3566"/>
        <n v="3574"/>
      </sharedItems>
    </cacheField>
    <cacheField name="Rating as number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12" createdVersion="3">
  <cacheSource type="worksheet">
    <worksheetSource ref="B2:L114" sheet="India Staff"/>
  </cacheSource>
  <cacheFields count="11">
    <cacheField name="Name" numFmtId="0">
      <sharedItems count="92">
        <s v="Abhaya Priyavardhan"/>
        <s v="Agrata Rajarama"/>
        <s v="Akbar Sorabhjee"/>
        <s v="Amal Nimesh"/>
        <s v="Amlankusum Rajabhushan"/>
        <s v="Anjushri Chandiramani"/>
        <s v="Anumati Shyamari Meherhomji"/>
        <s v="Ardhendu Abhichandra Jayakar"/>
        <s v="Asija Pothireddy"/>
        <s v="Ayog Chakrabarti"/>
        <s v="Bandhula Sathyanna"/>
        <s v="Baruna Ogale"/>
        <s v="Bhuvan Pals"/>
        <s v="Chandana Sannidhi Surnilla"/>
        <s v="Chitrasen Laul"/>
        <s v="Damayanti Thangavadivelu"/>
        <s v="Daruka Ghazali"/>
        <s v="Deepali Charan"/>
        <s v="Deepit Ranjana"/>
        <s v="Devasree Fullara Saurin"/>
        <s v="Dhruv Manjunath"/>
        <s v="Fullara Sushanti Mokate"/>
        <s v="Gangadutt Ragha"/>
        <s v="Geena Raghavanpillai"/>
        <s v="Godavari Veena"/>
        <s v="Gumwant Veera"/>
        <s v="Heer Pennathur"/>
        <s v="Hemavati Muthiah"/>
        <s v="Hridaynath Tendulkar"/>
        <s v="Ilesh Dasgupta"/>
        <s v="Indu Varada Sumedh"/>
        <s v="Jagajeet Viraj"/>
        <s v="Jaishree Atasi Yavatkar"/>
        <s v="Kaishori Harathi Kateel"/>
        <s v="Kamalakshi Mukundan"/>
        <s v="Kantimoy Pritish"/>
        <s v="Karuna Pashupathy"/>
        <s v="Kevalkumar Solanki"/>
        <s v="Krishnakanta Vellanki"/>
        <s v="Krittika Gaekwad"/>
        <s v="Kulbhushan Moorthy"/>
        <s v="Kunja Prashanta Vibha"/>
        <s v="Lalit Kothari"/>
        <s v="Madhavdas Buhpathi"/>
        <s v="Madhumati Gazala Soumitra"/>
        <s v="Mahindra Sreedharan"/>
        <s v="Makshi Vinutha"/>
        <s v="Manjusri Ruchi"/>
        <s v="Mardav Ramaswami"/>
        <s v="Mirium Seemantini Shivakumar"/>
        <s v="Mithil Nadkarni"/>
        <s v="Nanak Sapna"/>
        <s v="Narois Motiwala"/>
        <s v="Piyali Mahanthapa"/>
        <s v="Pragya Nilufar"/>
        <s v="Pratigya Rema"/>
        <s v="Prerana Nishita"/>
        <s v="Purnendu Vijayarangan"/>
        <s v="Rameshwari Chikodi"/>
        <s v="Ramnath Ravuri"/>
        <s v="Ranajay Kailashnath Richa"/>
        <s v="Rukma Vinita"/>
        <s v="Rupak Mehra"/>
        <s v="Rushil Kripa"/>
        <s v="Sahas Sanabhi Shrikant"/>
        <s v="Sahila Chandrasekhar"/>
        <s v="Sameer Shashank Sapra"/>
        <s v="Sanchali Shirish"/>
        <s v="Sarayu Ragunathan"/>
        <s v="Sarojini Naueshwara"/>
        <s v="Sartaj Probal"/>
        <s v="Satyendra Venkatadri"/>
        <s v="Sawini Chandan"/>
        <s v="Shattesh Utpat"/>
        <s v="Shekhar Eswara"/>
        <s v="Shevantilal Muppala"/>
        <s v="Shiuli Sapna"/>
        <s v="Shobhana Samuel"/>
        <s v="Shreela Ramasubraman"/>
        <s v="Shubhra Potla"/>
        <s v="Shulabh Qutub Sundaramoorthy"/>
        <s v="Suchira Bhanupriya Tapti"/>
        <s v="Sukhdev Nageshwar"/>
        <s v="Tarala Vishaal"/>
        <s v="Udyan Lanka"/>
        <s v="Upendra Swati"/>
        <s v="Vanmala Shriharsha"/>
        <s v="Vasu Nandin"/>
        <s v="Vinanti Choudhari"/>
        <s v="Waheeda Vasuman"/>
        <s v="Yagna Sujeev"/>
        <s v="Yauvani Tarpa"/>
      </sharedItems>
    </cacheField>
    <cacheField name="Gender" numFmtId="0">
      <sharedItems containsBlank="1" count="3">
        <s v="Female"/>
        <s v="Male"/>
        <m/>
      </sharedItems>
    </cacheField>
    <cacheField name="Department" numFmtId="0">
      <sharedItems count="5">
        <s v="Finance"/>
        <s v="HR"/>
        <s v="Procurement"/>
        <s v="Sales"/>
        <s v="Website"/>
      </sharedItems>
    </cacheField>
    <cacheField name="Age" numFmtId="0">
      <sharedItems containsSemiMixedTypes="0" containsString="0" containsNumber="1" containsInteger="1" minValue="19" maxValue="46" count="25"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40"/>
        <n v="42"/>
        <n v="43"/>
        <n v="44"/>
        <n v="46"/>
      </sharedItems>
    </cacheField>
    <cacheField name="Date Joined" numFmtId="0">
      <sharedItems containsSemiMixedTypes="0" containsNonDate="0" containsDate="1" containsString="0" minDate="2020-05-07T00:00:00" maxDate="2023-02-28T00:00:00" count="87">
        <d v="2020-05-07T00:00:00"/>
        <d v="2020-05-11T00:00:00"/>
        <d v="2020-05-29T00:00:00"/>
        <d v="2020-06-24T00:00:00"/>
        <d v="2020-07-11T00:00:00"/>
        <d v="2020-07-30T00:00:00"/>
        <d v="2020-08-18T00:00:00"/>
        <d v="2020-08-30T00:00:00"/>
        <d v="2020-09-10T00:00:00"/>
        <d v="2020-09-11T00:00:00"/>
        <d v="2020-09-13T00:00:00"/>
        <d v="2020-09-29T00:00:00"/>
        <d v="2020-10-15T00:00:00"/>
        <d v="2020-10-18T00:00:00"/>
        <d v="2020-10-20T00:00:00"/>
        <d v="2020-10-25T00:00:00"/>
        <d v="2020-11-09T00:00:00"/>
        <d v="2020-11-29T00:00:00"/>
        <d v="2020-12-09T00:00:00"/>
        <d v="2020-12-15T00:00:00"/>
        <d v="2020-12-16T00:00:00"/>
        <d v="2021-01-08T00:00:00"/>
        <d v="2021-01-16T00:00:00"/>
        <d v="2021-01-18T00:00:00"/>
        <d v="2021-01-22T00:00:00"/>
        <d v="2021-02-26T00:00:00"/>
        <d v="2021-03-01T00:00:00"/>
        <d v="2021-03-13T00:00:00"/>
        <d v="2021-03-17T00:00:00"/>
        <d v="2021-03-21T00:00:00"/>
        <d v="2021-03-22T00:00:00"/>
        <d v="2021-04-07T00:00:00"/>
        <d v="2021-04-10T00:00:00"/>
        <d v="2021-04-27T00:00:00"/>
        <d v="2021-04-30T00:00:00"/>
        <d v="2021-05-04T00:00:00"/>
        <d v="2021-05-06T00:00:00"/>
        <d v="2021-05-08T00:00:00"/>
        <d v="2021-05-12T00:00:00"/>
        <d v="2021-05-23T00:00:00"/>
        <d v="2021-06-03T00:00:00"/>
        <d v="2021-06-28T00:00:00"/>
        <d v="2021-07-01T00:00:00"/>
        <d v="2021-07-06T00:00:00"/>
        <d v="2021-07-07T00:00:00"/>
        <d v="2021-07-11T00:00:00"/>
        <d v="2021-07-12T00:00:00"/>
        <d v="2021-07-20T00:00:00"/>
        <d v="2021-07-26T00:00:00"/>
        <d v="2021-08-17T00:00:00"/>
        <d v="2021-08-25T00:00:00"/>
        <d v="2021-09-09T00:00:00"/>
        <d v="2021-09-11T00:00:00"/>
        <d v="2021-09-29T00:00:00"/>
        <d v="2021-10-07T00:00:00"/>
        <d v="2021-11-06T00:00:00"/>
        <d v="2021-12-05T00:00:00"/>
        <d v="2021-12-14T00:00:00"/>
        <d v="2021-12-17T00:00:00"/>
        <d v="2021-12-19T00:00:00"/>
        <d v="2021-12-20T00:00:00"/>
        <d v="2021-12-28T00:00:00"/>
        <d v="2022-01-10T00:00:00"/>
        <d v="2022-01-29T00:00:00"/>
        <d v="2022-02-02T00:00:00"/>
        <d v="2022-02-12T00:00:00"/>
        <d v="2022-02-15T00:00:00"/>
        <d v="2022-02-27T00:00:00"/>
        <d v="2022-03-05T00:00:00"/>
        <d v="2022-03-13T00:00:00"/>
        <d v="2022-03-20T00:00:00"/>
        <d v="2022-03-22T00:00:00"/>
        <d v="2022-04-09T00:00:00"/>
        <d v="2022-04-12T00:00:00"/>
        <d v="2022-04-14T00:00:00"/>
        <d v="2022-04-15T00:00:00"/>
        <d v="2022-04-19T00:00:00"/>
        <d v="2022-05-02T00:00:00"/>
        <d v="2022-05-16T00:00:00"/>
        <d v="2022-05-20T00:00:00"/>
        <d v="2022-06-01T00:00:00"/>
        <d v="2022-06-06T00:00:00"/>
        <d v="2022-07-05T00:00:00"/>
        <d v="2022-07-16T00:00:00"/>
        <d v="2022-08-16T00:00:00"/>
        <d v="2022-08-27T00:00:00"/>
        <d v="2023-02-28T00:00:00"/>
      </sharedItems>
    </cacheField>
    <cacheField name="Salary" numFmtId="0">
      <sharedItems containsSemiMixedTypes="0" containsString="0" containsNumber="1" containsInteger="1" minValue="33920" maxValue="119110" count="90">
        <n v="33920"/>
        <n v="34980"/>
        <n v="36040"/>
        <n v="37920"/>
        <n v="40400"/>
        <n v="41570"/>
        <n v="41980"/>
        <n v="43510"/>
        <n v="43840"/>
        <n v="45510"/>
        <n v="47360"/>
        <n v="48170"/>
        <n v="48530"/>
        <n v="48950"/>
        <n v="48980"/>
        <n v="49630"/>
        <n v="52610"/>
        <n v="53240"/>
        <n v="53540"/>
        <n v="53870"/>
        <n v="54970"/>
        <n v="56870"/>
        <n v="57090"/>
        <n v="58100"/>
        <n v="58940"/>
        <n v="58960"/>
        <n v="59430"/>
        <n v="60130"/>
        <n v="60570"/>
        <n v="62780"/>
        <n v="64000"/>
        <n v="65360"/>
        <n v="65700"/>
        <n v="65920"/>
        <n v="67910"/>
        <n v="67950"/>
        <n v="68900"/>
        <n v="69070"/>
        <n v="69120"/>
        <n v="69710"/>
        <n v="70270"/>
        <n v="70610"/>
        <n v="71380"/>
        <n v="74550"/>
        <n v="75000"/>
        <n v="75280"/>
        <n v="75480"/>
        <n v="75880"/>
        <n v="75970"/>
        <n v="76900"/>
        <n v="78390"/>
        <n v="78540"/>
        <n v="79570"/>
        <n v="80700"/>
        <n v="83750"/>
        <n v="85000"/>
        <n v="86570"/>
        <n v="87620"/>
        <n v="88050"/>
        <n v="90700"/>
        <n v="91310"/>
        <n v="91650"/>
        <n v="92450"/>
        <n v="92700"/>
        <n v="96140"/>
        <n v="96800"/>
        <n v="99750"/>
        <n v="99970"/>
        <n v="100420"/>
        <n v="103550"/>
        <n v="104120"/>
        <n v="104410"/>
        <n v="104770"/>
        <n v="106460"/>
        <n v="107700"/>
        <n v="109160"/>
        <n v="109190"/>
        <n v="112110"/>
        <n v="112570"/>
        <n v="112650"/>
        <n v="112780"/>
        <n v="113280"/>
        <n v="114180"/>
        <n v="114870"/>
        <n v="114890"/>
        <n v="115440"/>
        <n v="115920"/>
        <n v="118100"/>
        <n v="118840"/>
        <n v="119110"/>
      </sharedItems>
    </cacheField>
    <cacheField name="Rating" numFmtId="0">
      <sharedItems count="5">
        <s v="Above average"/>
        <s v="Average"/>
        <s v="Exceptional"/>
        <s v="Poor"/>
        <s v="Very poor"/>
      </sharedItems>
    </cacheField>
    <cacheField name="Country" numFmtId="0">
      <sharedItems count="1">
        <s v="IND"/>
      </sharedItems>
    </cacheField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Month_num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_name" numFmtId="0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4">
  <r>
    <x v="61"/>
    <x v="0"/>
    <x v="4"/>
    <x v="2"/>
    <x v="133"/>
    <x v="0"/>
    <x v="1"/>
    <x v="0"/>
    <x v="27"/>
    <x v="0"/>
    <x v="2"/>
  </r>
  <r>
    <x v="155"/>
    <x v="0"/>
    <x v="4"/>
    <x v="2"/>
    <x v="119"/>
    <x v="0"/>
    <x v="1"/>
    <x v="1"/>
    <x v="41"/>
    <x v="0"/>
    <x v="2"/>
  </r>
  <r>
    <x v="121"/>
    <x v="0"/>
    <x v="4"/>
    <x v="10"/>
    <x v="5"/>
    <x v="1"/>
    <x v="1"/>
    <x v="0"/>
    <x v="155"/>
    <x v="1"/>
    <x v="2"/>
  </r>
  <r>
    <x v="159"/>
    <x v="0"/>
    <x v="4"/>
    <x v="10"/>
    <x v="1"/>
    <x v="1"/>
    <x v="1"/>
    <x v="1"/>
    <x v="159"/>
    <x v="1"/>
    <x v="2"/>
  </r>
  <r>
    <x v="25"/>
    <x v="1"/>
    <x v="3"/>
    <x v="22"/>
    <x v="120"/>
    <x v="2"/>
    <x v="1"/>
    <x v="0"/>
    <x v="40"/>
    <x v="2"/>
    <x v="2"/>
  </r>
  <r>
    <x v="177"/>
    <x v="1"/>
    <x v="3"/>
    <x v="22"/>
    <x v="107"/>
    <x v="2"/>
    <x v="1"/>
    <x v="1"/>
    <x v="53"/>
    <x v="2"/>
    <x v="2"/>
  </r>
  <r>
    <x v="124"/>
    <x v="1"/>
    <x v="2"/>
    <x v="2"/>
    <x v="15"/>
    <x v="3"/>
    <x v="1"/>
    <x v="0"/>
    <x v="145"/>
    <x v="3"/>
    <x v="2"/>
  </r>
  <r>
    <x v="3"/>
    <x v="1"/>
    <x v="2"/>
    <x v="2"/>
    <x v="7"/>
    <x v="3"/>
    <x v="1"/>
    <x v="1"/>
    <x v="153"/>
    <x v="3"/>
    <x v="2"/>
  </r>
  <r>
    <x v="12"/>
    <x v="1"/>
    <x v="2"/>
    <x v="16"/>
    <x v="145"/>
    <x v="4"/>
    <x v="1"/>
    <x v="0"/>
    <x v="15"/>
    <x v="4"/>
    <x v="2"/>
  </r>
  <r>
    <x v="153"/>
    <x v="1"/>
    <x v="2"/>
    <x v="16"/>
    <x v="131"/>
    <x v="4"/>
    <x v="1"/>
    <x v="1"/>
    <x v="29"/>
    <x v="4"/>
    <x v="2"/>
  </r>
  <r>
    <x v="35"/>
    <x v="0"/>
    <x v="2"/>
    <x v="13"/>
    <x v="117"/>
    <x v="5"/>
    <x v="1"/>
    <x v="0"/>
    <x v="43"/>
    <x v="5"/>
    <x v="2"/>
  </r>
  <r>
    <x v="128"/>
    <x v="0"/>
    <x v="2"/>
    <x v="13"/>
    <x v="105"/>
    <x v="5"/>
    <x v="1"/>
    <x v="1"/>
    <x v="55"/>
    <x v="5"/>
    <x v="2"/>
  </r>
  <r>
    <x v="45"/>
    <x v="0"/>
    <x v="4"/>
    <x v="12"/>
    <x v="22"/>
    <x v="6"/>
    <x v="1"/>
    <x v="0"/>
    <x v="138"/>
    <x v="6"/>
    <x v="2"/>
  </r>
  <r>
    <x v="75"/>
    <x v="0"/>
    <x v="4"/>
    <x v="12"/>
    <x v="11"/>
    <x v="6"/>
    <x v="1"/>
    <x v="1"/>
    <x v="149"/>
    <x v="6"/>
    <x v="2"/>
  </r>
  <r>
    <x v="46"/>
    <x v="1"/>
    <x v="3"/>
    <x v="9"/>
    <x v="156"/>
    <x v="7"/>
    <x v="4"/>
    <x v="0"/>
    <x v="4"/>
    <x v="7"/>
    <x v="0"/>
  </r>
  <r>
    <x v="136"/>
    <x v="1"/>
    <x v="3"/>
    <x v="9"/>
    <x v="149"/>
    <x v="7"/>
    <x v="4"/>
    <x v="1"/>
    <x v="11"/>
    <x v="7"/>
    <x v="0"/>
  </r>
  <r>
    <x v="86"/>
    <x v="0"/>
    <x v="4"/>
    <x v="13"/>
    <x v="66"/>
    <x v="8"/>
    <x v="0"/>
    <x v="0"/>
    <x v="94"/>
    <x v="8"/>
    <x v="3"/>
  </r>
  <r>
    <x v="180"/>
    <x v="0"/>
    <x v="4"/>
    <x v="13"/>
    <x v="50"/>
    <x v="8"/>
    <x v="0"/>
    <x v="1"/>
    <x v="110"/>
    <x v="8"/>
    <x v="3"/>
  </r>
  <r>
    <x v="54"/>
    <x v="0"/>
    <x v="1"/>
    <x v="13"/>
    <x v="79"/>
    <x v="9"/>
    <x v="1"/>
    <x v="0"/>
    <x v="81"/>
    <x v="9"/>
    <x v="2"/>
  </r>
  <r>
    <x v="103"/>
    <x v="0"/>
    <x v="1"/>
    <x v="13"/>
    <x v="64"/>
    <x v="9"/>
    <x v="1"/>
    <x v="1"/>
    <x v="96"/>
    <x v="9"/>
    <x v="2"/>
  </r>
  <r>
    <x v="41"/>
    <x v="1"/>
    <x v="2"/>
    <x v="7"/>
    <x v="37"/>
    <x v="10"/>
    <x v="1"/>
    <x v="0"/>
    <x v="123"/>
    <x v="10"/>
    <x v="2"/>
  </r>
  <r>
    <x v="152"/>
    <x v="1"/>
    <x v="2"/>
    <x v="7"/>
    <x v="25"/>
    <x v="10"/>
    <x v="1"/>
    <x v="1"/>
    <x v="135"/>
    <x v="10"/>
    <x v="2"/>
  </r>
  <r>
    <x v="77"/>
    <x v="1"/>
    <x v="0"/>
    <x v="9"/>
    <x v="6"/>
    <x v="11"/>
    <x v="0"/>
    <x v="0"/>
    <x v="154"/>
    <x v="11"/>
    <x v="3"/>
  </r>
  <r>
    <x v="13"/>
    <x v="1"/>
    <x v="0"/>
    <x v="9"/>
    <x v="2"/>
    <x v="11"/>
    <x v="0"/>
    <x v="1"/>
    <x v="158"/>
    <x v="11"/>
    <x v="3"/>
  </r>
  <r>
    <x v="51"/>
    <x v="1"/>
    <x v="2"/>
    <x v="14"/>
    <x v="138"/>
    <x v="12"/>
    <x v="0"/>
    <x v="0"/>
    <x v="22"/>
    <x v="12"/>
    <x v="3"/>
  </r>
  <r>
    <x v="125"/>
    <x v="1"/>
    <x v="2"/>
    <x v="14"/>
    <x v="124"/>
    <x v="12"/>
    <x v="0"/>
    <x v="1"/>
    <x v="36"/>
    <x v="12"/>
    <x v="3"/>
  </r>
  <r>
    <x v="63"/>
    <x v="1"/>
    <x v="4"/>
    <x v="12"/>
    <x v="99"/>
    <x v="13"/>
    <x v="1"/>
    <x v="0"/>
    <x v="61"/>
    <x v="13"/>
    <x v="2"/>
  </r>
  <r>
    <x v="6"/>
    <x v="1"/>
    <x v="4"/>
    <x v="12"/>
    <x v="89"/>
    <x v="13"/>
    <x v="1"/>
    <x v="1"/>
    <x v="71"/>
    <x v="13"/>
    <x v="2"/>
  </r>
  <r>
    <x v="52"/>
    <x v="1"/>
    <x v="0"/>
    <x v="8"/>
    <x v="108"/>
    <x v="14"/>
    <x v="1"/>
    <x v="0"/>
    <x v="52"/>
    <x v="14"/>
    <x v="2"/>
  </r>
  <r>
    <x v="171"/>
    <x v="1"/>
    <x v="0"/>
    <x v="8"/>
    <x v="97"/>
    <x v="14"/>
    <x v="1"/>
    <x v="1"/>
    <x v="63"/>
    <x v="14"/>
    <x v="2"/>
  </r>
  <r>
    <x v="175"/>
    <x v="0"/>
    <x v="3"/>
    <x v="15"/>
    <x v="142"/>
    <x v="15"/>
    <x v="3"/>
    <x v="0"/>
    <x v="18"/>
    <x v="15"/>
    <x v="1"/>
  </r>
  <r>
    <x v="38"/>
    <x v="0"/>
    <x v="3"/>
    <x v="15"/>
    <x v="128"/>
    <x v="15"/>
    <x v="3"/>
    <x v="1"/>
    <x v="32"/>
    <x v="15"/>
    <x v="1"/>
  </r>
  <r>
    <x v="88"/>
    <x v="1"/>
    <x v="0"/>
    <x v="5"/>
    <x v="84"/>
    <x v="16"/>
    <x v="3"/>
    <x v="0"/>
    <x v="76"/>
    <x v="16"/>
    <x v="1"/>
  </r>
  <r>
    <x v="62"/>
    <x v="1"/>
    <x v="0"/>
    <x v="5"/>
    <x v="69"/>
    <x v="16"/>
    <x v="3"/>
    <x v="1"/>
    <x v="91"/>
    <x v="16"/>
    <x v="1"/>
  </r>
  <r>
    <x v="162"/>
    <x v="0"/>
    <x v="3"/>
    <x v="9"/>
    <x v="67"/>
    <x v="17"/>
    <x v="1"/>
    <x v="0"/>
    <x v="93"/>
    <x v="17"/>
    <x v="2"/>
  </r>
  <r>
    <x v="11"/>
    <x v="0"/>
    <x v="3"/>
    <x v="9"/>
    <x v="51"/>
    <x v="17"/>
    <x v="1"/>
    <x v="1"/>
    <x v="109"/>
    <x v="17"/>
    <x v="2"/>
  </r>
  <r>
    <x v="69"/>
    <x v="1"/>
    <x v="3"/>
    <x v="13"/>
    <x v="92"/>
    <x v="18"/>
    <x v="1"/>
    <x v="0"/>
    <x v="68"/>
    <x v="18"/>
    <x v="2"/>
  </r>
  <r>
    <x v="182"/>
    <x v="1"/>
    <x v="2"/>
    <x v="7"/>
    <x v="81"/>
    <x v="18"/>
    <x v="1"/>
    <x v="1"/>
    <x v="79"/>
    <x v="18"/>
    <x v="2"/>
  </r>
  <r>
    <x v="57"/>
    <x v="1"/>
    <x v="3"/>
    <x v="13"/>
    <x v="80"/>
    <x v="18"/>
    <x v="1"/>
    <x v="1"/>
    <x v="80"/>
    <x v="18"/>
    <x v="2"/>
  </r>
  <r>
    <x v="32"/>
    <x v="1"/>
    <x v="2"/>
    <x v="7"/>
    <x v="65"/>
    <x v="18"/>
    <x v="1"/>
    <x v="1"/>
    <x v="95"/>
    <x v="18"/>
    <x v="2"/>
  </r>
  <r>
    <x v="178"/>
    <x v="1"/>
    <x v="4"/>
    <x v="14"/>
    <x v="98"/>
    <x v="19"/>
    <x v="1"/>
    <x v="0"/>
    <x v="62"/>
    <x v="19"/>
    <x v="2"/>
  </r>
  <r>
    <x v="126"/>
    <x v="1"/>
    <x v="4"/>
    <x v="14"/>
    <x v="88"/>
    <x v="19"/>
    <x v="1"/>
    <x v="1"/>
    <x v="72"/>
    <x v="19"/>
    <x v="2"/>
  </r>
  <r>
    <x v="5"/>
    <x v="1"/>
    <x v="3"/>
    <x v="8"/>
    <x v="20"/>
    <x v="20"/>
    <x v="1"/>
    <x v="0"/>
    <x v="140"/>
    <x v="20"/>
    <x v="2"/>
  </r>
  <r>
    <x v="141"/>
    <x v="1"/>
    <x v="3"/>
    <x v="8"/>
    <x v="10"/>
    <x v="20"/>
    <x v="1"/>
    <x v="1"/>
    <x v="150"/>
    <x v="20"/>
    <x v="2"/>
  </r>
  <r>
    <x v="123"/>
    <x v="0"/>
    <x v="3"/>
    <x v="19"/>
    <x v="60"/>
    <x v="21"/>
    <x v="0"/>
    <x v="0"/>
    <x v="100"/>
    <x v="21"/>
    <x v="3"/>
  </r>
  <r>
    <x v="113"/>
    <x v="0"/>
    <x v="3"/>
    <x v="19"/>
    <x v="44"/>
    <x v="21"/>
    <x v="0"/>
    <x v="1"/>
    <x v="116"/>
    <x v="21"/>
    <x v="3"/>
  </r>
  <r>
    <x v="89"/>
    <x v="1"/>
    <x v="2"/>
    <x v="2"/>
    <x v="150"/>
    <x v="22"/>
    <x v="1"/>
    <x v="0"/>
    <x v="10"/>
    <x v="22"/>
    <x v="2"/>
  </r>
  <r>
    <x v="148"/>
    <x v="1"/>
    <x v="2"/>
    <x v="2"/>
    <x v="138"/>
    <x v="22"/>
    <x v="1"/>
    <x v="1"/>
    <x v="22"/>
    <x v="22"/>
    <x v="2"/>
  </r>
  <r>
    <x v="26"/>
    <x v="0"/>
    <x v="4"/>
    <x v="12"/>
    <x v="129"/>
    <x v="23"/>
    <x v="1"/>
    <x v="0"/>
    <x v="31"/>
    <x v="23"/>
    <x v="2"/>
  </r>
  <r>
    <x v="127"/>
    <x v="0"/>
    <x v="4"/>
    <x v="12"/>
    <x v="113"/>
    <x v="23"/>
    <x v="1"/>
    <x v="1"/>
    <x v="47"/>
    <x v="23"/>
    <x v="2"/>
  </r>
  <r>
    <x v="122"/>
    <x v="0"/>
    <x v="0"/>
    <x v="15"/>
    <x v="127"/>
    <x v="24"/>
    <x v="1"/>
    <x v="0"/>
    <x v="33"/>
    <x v="24"/>
    <x v="2"/>
  </r>
  <r>
    <x v="94"/>
    <x v="0"/>
    <x v="0"/>
    <x v="15"/>
    <x v="111"/>
    <x v="24"/>
    <x v="1"/>
    <x v="1"/>
    <x v="49"/>
    <x v="24"/>
    <x v="2"/>
  </r>
  <r>
    <x v="99"/>
    <x v="1"/>
    <x v="2"/>
    <x v="0"/>
    <x v="49"/>
    <x v="25"/>
    <x v="1"/>
    <x v="0"/>
    <x v="111"/>
    <x v="24"/>
    <x v="2"/>
  </r>
  <r>
    <x v="174"/>
    <x v="1"/>
    <x v="2"/>
    <x v="0"/>
    <x v="36"/>
    <x v="25"/>
    <x v="1"/>
    <x v="1"/>
    <x v="124"/>
    <x v="24"/>
    <x v="2"/>
  </r>
  <r>
    <x v="117"/>
    <x v="1"/>
    <x v="0"/>
    <x v="14"/>
    <x v="40"/>
    <x v="26"/>
    <x v="1"/>
    <x v="0"/>
    <x v="120"/>
    <x v="25"/>
    <x v="2"/>
  </r>
  <r>
    <x v="14"/>
    <x v="1"/>
    <x v="0"/>
    <x v="14"/>
    <x v="28"/>
    <x v="26"/>
    <x v="1"/>
    <x v="1"/>
    <x v="132"/>
    <x v="25"/>
    <x v="2"/>
  </r>
  <r>
    <x v="79"/>
    <x v="0"/>
    <x v="0"/>
    <x v="15"/>
    <x v="118"/>
    <x v="27"/>
    <x v="1"/>
    <x v="0"/>
    <x v="42"/>
    <x v="26"/>
    <x v="2"/>
  </r>
  <r>
    <x v="97"/>
    <x v="0"/>
    <x v="0"/>
    <x v="15"/>
    <x v="106"/>
    <x v="27"/>
    <x v="1"/>
    <x v="1"/>
    <x v="54"/>
    <x v="26"/>
    <x v="2"/>
  </r>
  <r>
    <x v="108"/>
    <x v="1"/>
    <x v="2"/>
    <x v="11"/>
    <x v="131"/>
    <x v="28"/>
    <x v="1"/>
    <x v="0"/>
    <x v="29"/>
    <x v="27"/>
    <x v="2"/>
  </r>
  <r>
    <x v="110"/>
    <x v="1"/>
    <x v="2"/>
    <x v="11"/>
    <x v="115"/>
    <x v="28"/>
    <x v="1"/>
    <x v="1"/>
    <x v="45"/>
    <x v="27"/>
    <x v="2"/>
  </r>
  <r>
    <x v="173"/>
    <x v="0"/>
    <x v="4"/>
    <x v="5"/>
    <x v="24"/>
    <x v="29"/>
    <x v="1"/>
    <x v="0"/>
    <x v="136"/>
    <x v="28"/>
    <x v="2"/>
  </r>
  <r>
    <x v="55"/>
    <x v="0"/>
    <x v="4"/>
    <x v="5"/>
    <x v="13"/>
    <x v="29"/>
    <x v="1"/>
    <x v="1"/>
    <x v="147"/>
    <x v="28"/>
    <x v="2"/>
  </r>
  <r>
    <x v="36"/>
    <x v="2"/>
    <x v="0"/>
    <x v="11"/>
    <x v="112"/>
    <x v="30"/>
    <x v="1"/>
    <x v="0"/>
    <x v="48"/>
    <x v="29"/>
    <x v="2"/>
  </r>
  <r>
    <x v="168"/>
    <x v="2"/>
    <x v="0"/>
    <x v="11"/>
    <x v="101"/>
    <x v="30"/>
    <x v="1"/>
    <x v="1"/>
    <x v="59"/>
    <x v="29"/>
    <x v="2"/>
  </r>
  <r>
    <x v="164"/>
    <x v="0"/>
    <x v="0"/>
    <x v="14"/>
    <x v="9"/>
    <x v="31"/>
    <x v="1"/>
    <x v="0"/>
    <x v="151"/>
    <x v="30"/>
    <x v="2"/>
  </r>
  <r>
    <x v="91"/>
    <x v="0"/>
    <x v="0"/>
    <x v="14"/>
    <x v="3"/>
    <x v="31"/>
    <x v="1"/>
    <x v="1"/>
    <x v="157"/>
    <x v="30"/>
    <x v="2"/>
  </r>
  <r>
    <x v="87"/>
    <x v="1"/>
    <x v="3"/>
    <x v="6"/>
    <x v="73"/>
    <x v="32"/>
    <x v="1"/>
    <x v="0"/>
    <x v="87"/>
    <x v="31"/>
    <x v="2"/>
  </r>
  <r>
    <x v="0"/>
    <x v="1"/>
    <x v="3"/>
    <x v="6"/>
    <x v="57"/>
    <x v="32"/>
    <x v="1"/>
    <x v="1"/>
    <x v="103"/>
    <x v="31"/>
    <x v="2"/>
  </r>
  <r>
    <x v="111"/>
    <x v="0"/>
    <x v="0"/>
    <x v="2"/>
    <x v="55"/>
    <x v="33"/>
    <x v="1"/>
    <x v="0"/>
    <x v="105"/>
    <x v="32"/>
    <x v="2"/>
  </r>
  <r>
    <x v="2"/>
    <x v="0"/>
    <x v="0"/>
    <x v="2"/>
    <x v="42"/>
    <x v="33"/>
    <x v="1"/>
    <x v="1"/>
    <x v="118"/>
    <x v="32"/>
    <x v="2"/>
  </r>
  <r>
    <x v="71"/>
    <x v="0"/>
    <x v="0"/>
    <x v="11"/>
    <x v="77"/>
    <x v="34"/>
    <x v="3"/>
    <x v="0"/>
    <x v="83"/>
    <x v="33"/>
    <x v="1"/>
  </r>
  <r>
    <x v="83"/>
    <x v="0"/>
    <x v="0"/>
    <x v="11"/>
    <x v="59"/>
    <x v="34"/>
    <x v="3"/>
    <x v="1"/>
    <x v="101"/>
    <x v="33"/>
    <x v="1"/>
  </r>
  <r>
    <x v="48"/>
    <x v="1"/>
    <x v="2"/>
    <x v="11"/>
    <x v="138"/>
    <x v="35"/>
    <x v="1"/>
    <x v="0"/>
    <x v="22"/>
    <x v="34"/>
    <x v="2"/>
  </r>
  <r>
    <x v="106"/>
    <x v="1"/>
    <x v="2"/>
    <x v="11"/>
    <x v="124"/>
    <x v="35"/>
    <x v="1"/>
    <x v="1"/>
    <x v="36"/>
    <x v="34"/>
    <x v="2"/>
  </r>
  <r>
    <x v="72"/>
    <x v="0"/>
    <x v="3"/>
    <x v="1"/>
    <x v="102"/>
    <x v="36"/>
    <x v="3"/>
    <x v="0"/>
    <x v="58"/>
    <x v="35"/>
    <x v="1"/>
  </r>
  <r>
    <x v="43"/>
    <x v="0"/>
    <x v="3"/>
    <x v="1"/>
    <x v="94"/>
    <x v="36"/>
    <x v="3"/>
    <x v="1"/>
    <x v="66"/>
    <x v="35"/>
    <x v="1"/>
  </r>
  <r>
    <x v="116"/>
    <x v="1"/>
    <x v="4"/>
    <x v="18"/>
    <x v="138"/>
    <x v="37"/>
    <x v="1"/>
    <x v="0"/>
    <x v="22"/>
    <x v="36"/>
    <x v="2"/>
  </r>
  <r>
    <x v="76"/>
    <x v="1"/>
    <x v="4"/>
    <x v="18"/>
    <x v="124"/>
    <x v="37"/>
    <x v="1"/>
    <x v="1"/>
    <x v="36"/>
    <x v="36"/>
    <x v="2"/>
  </r>
  <r>
    <x v="9"/>
    <x v="1"/>
    <x v="4"/>
    <x v="11"/>
    <x v="47"/>
    <x v="38"/>
    <x v="1"/>
    <x v="0"/>
    <x v="113"/>
    <x v="37"/>
    <x v="2"/>
  </r>
  <r>
    <x v="131"/>
    <x v="1"/>
    <x v="4"/>
    <x v="11"/>
    <x v="35"/>
    <x v="38"/>
    <x v="1"/>
    <x v="1"/>
    <x v="125"/>
    <x v="37"/>
    <x v="2"/>
  </r>
  <r>
    <x v="118"/>
    <x v="1"/>
    <x v="4"/>
    <x v="11"/>
    <x v="157"/>
    <x v="39"/>
    <x v="1"/>
    <x v="0"/>
    <x v="3"/>
    <x v="38"/>
    <x v="2"/>
  </r>
  <r>
    <x v="150"/>
    <x v="1"/>
    <x v="4"/>
    <x v="11"/>
    <x v="153"/>
    <x v="39"/>
    <x v="1"/>
    <x v="1"/>
    <x v="7"/>
    <x v="38"/>
    <x v="2"/>
  </r>
  <r>
    <x v="149"/>
    <x v="1"/>
    <x v="0"/>
    <x v="21"/>
    <x v="146"/>
    <x v="40"/>
    <x v="3"/>
    <x v="0"/>
    <x v="14"/>
    <x v="39"/>
    <x v="1"/>
  </r>
  <r>
    <x v="29"/>
    <x v="1"/>
    <x v="0"/>
    <x v="21"/>
    <x v="132"/>
    <x v="40"/>
    <x v="3"/>
    <x v="1"/>
    <x v="28"/>
    <x v="39"/>
    <x v="1"/>
  </r>
  <r>
    <x v="7"/>
    <x v="1"/>
    <x v="2"/>
    <x v="24"/>
    <x v="149"/>
    <x v="41"/>
    <x v="1"/>
    <x v="0"/>
    <x v="11"/>
    <x v="40"/>
    <x v="2"/>
  </r>
  <r>
    <x v="133"/>
    <x v="1"/>
    <x v="2"/>
    <x v="24"/>
    <x v="137"/>
    <x v="41"/>
    <x v="1"/>
    <x v="1"/>
    <x v="23"/>
    <x v="40"/>
    <x v="2"/>
  </r>
  <r>
    <x v="19"/>
    <x v="1"/>
    <x v="0"/>
    <x v="17"/>
    <x v="61"/>
    <x v="42"/>
    <x v="1"/>
    <x v="0"/>
    <x v="99"/>
    <x v="41"/>
    <x v="2"/>
  </r>
  <r>
    <x v="95"/>
    <x v="1"/>
    <x v="0"/>
    <x v="17"/>
    <x v="46"/>
    <x v="42"/>
    <x v="1"/>
    <x v="1"/>
    <x v="114"/>
    <x v="41"/>
    <x v="2"/>
  </r>
  <r>
    <x v="58"/>
    <x v="1"/>
    <x v="3"/>
    <x v="14"/>
    <x v="75"/>
    <x v="43"/>
    <x v="1"/>
    <x v="0"/>
    <x v="85"/>
    <x v="42"/>
    <x v="2"/>
  </r>
  <r>
    <x v="181"/>
    <x v="1"/>
    <x v="3"/>
    <x v="14"/>
    <x v="58"/>
    <x v="43"/>
    <x v="1"/>
    <x v="1"/>
    <x v="102"/>
    <x v="42"/>
    <x v="2"/>
  </r>
  <r>
    <x v="17"/>
    <x v="0"/>
    <x v="2"/>
    <x v="21"/>
    <x v="152"/>
    <x v="44"/>
    <x v="2"/>
    <x v="0"/>
    <x v="8"/>
    <x v="43"/>
    <x v="4"/>
  </r>
  <r>
    <x v="119"/>
    <x v="0"/>
    <x v="2"/>
    <x v="21"/>
    <x v="141"/>
    <x v="44"/>
    <x v="2"/>
    <x v="1"/>
    <x v="19"/>
    <x v="43"/>
    <x v="4"/>
  </r>
  <r>
    <x v="49"/>
    <x v="0"/>
    <x v="4"/>
    <x v="14"/>
    <x v="52"/>
    <x v="45"/>
    <x v="1"/>
    <x v="0"/>
    <x v="108"/>
    <x v="44"/>
    <x v="2"/>
  </r>
  <r>
    <x v="66"/>
    <x v="0"/>
    <x v="4"/>
    <x v="14"/>
    <x v="41"/>
    <x v="45"/>
    <x v="1"/>
    <x v="1"/>
    <x v="119"/>
    <x v="44"/>
    <x v="2"/>
  </r>
  <r>
    <x v="27"/>
    <x v="0"/>
    <x v="4"/>
    <x v="14"/>
    <x v="68"/>
    <x v="46"/>
    <x v="4"/>
    <x v="0"/>
    <x v="92"/>
    <x v="45"/>
    <x v="0"/>
  </r>
  <r>
    <x v="15"/>
    <x v="0"/>
    <x v="4"/>
    <x v="14"/>
    <x v="53"/>
    <x v="46"/>
    <x v="4"/>
    <x v="1"/>
    <x v="107"/>
    <x v="45"/>
    <x v="0"/>
  </r>
  <r>
    <x v="147"/>
    <x v="1"/>
    <x v="1"/>
    <x v="2"/>
    <x v="39"/>
    <x v="47"/>
    <x v="1"/>
    <x v="0"/>
    <x v="121"/>
    <x v="46"/>
    <x v="2"/>
  </r>
  <r>
    <x v="140"/>
    <x v="1"/>
    <x v="1"/>
    <x v="2"/>
    <x v="27"/>
    <x v="47"/>
    <x v="1"/>
    <x v="1"/>
    <x v="133"/>
    <x v="46"/>
    <x v="2"/>
  </r>
  <r>
    <x v="23"/>
    <x v="0"/>
    <x v="0"/>
    <x v="9"/>
    <x v="30"/>
    <x v="48"/>
    <x v="1"/>
    <x v="0"/>
    <x v="130"/>
    <x v="47"/>
    <x v="2"/>
  </r>
  <r>
    <x v="74"/>
    <x v="0"/>
    <x v="0"/>
    <x v="9"/>
    <x v="18"/>
    <x v="48"/>
    <x v="1"/>
    <x v="1"/>
    <x v="142"/>
    <x v="47"/>
    <x v="2"/>
  </r>
  <r>
    <x v="176"/>
    <x v="0"/>
    <x v="2"/>
    <x v="3"/>
    <x v="89"/>
    <x v="49"/>
    <x v="0"/>
    <x v="0"/>
    <x v="71"/>
    <x v="48"/>
    <x v="3"/>
  </r>
  <r>
    <x v="154"/>
    <x v="0"/>
    <x v="2"/>
    <x v="3"/>
    <x v="76"/>
    <x v="49"/>
    <x v="0"/>
    <x v="1"/>
    <x v="84"/>
    <x v="48"/>
    <x v="3"/>
  </r>
  <r>
    <x v="4"/>
    <x v="0"/>
    <x v="2"/>
    <x v="17"/>
    <x v="100"/>
    <x v="50"/>
    <x v="1"/>
    <x v="0"/>
    <x v="60"/>
    <x v="49"/>
    <x v="2"/>
  </r>
  <r>
    <x v="137"/>
    <x v="0"/>
    <x v="2"/>
    <x v="17"/>
    <x v="93"/>
    <x v="50"/>
    <x v="1"/>
    <x v="1"/>
    <x v="67"/>
    <x v="49"/>
    <x v="2"/>
  </r>
  <r>
    <x v="60"/>
    <x v="0"/>
    <x v="3"/>
    <x v="17"/>
    <x v="96"/>
    <x v="51"/>
    <x v="1"/>
    <x v="0"/>
    <x v="64"/>
    <x v="50"/>
    <x v="2"/>
  </r>
  <r>
    <x v="156"/>
    <x v="0"/>
    <x v="3"/>
    <x v="17"/>
    <x v="83"/>
    <x v="51"/>
    <x v="1"/>
    <x v="1"/>
    <x v="77"/>
    <x v="50"/>
    <x v="2"/>
  </r>
  <r>
    <x v="90"/>
    <x v="1"/>
    <x v="2"/>
    <x v="1"/>
    <x v="147"/>
    <x v="52"/>
    <x v="1"/>
    <x v="0"/>
    <x v="13"/>
    <x v="51"/>
    <x v="2"/>
  </r>
  <r>
    <x v="167"/>
    <x v="1"/>
    <x v="2"/>
    <x v="1"/>
    <x v="134"/>
    <x v="52"/>
    <x v="1"/>
    <x v="1"/>
    <x v="26"/>
    <x v="51"/>
    <x v="2"/>
  </r>
  <r>
    <x v="170"/>
    <x v="0"/>
    <x v="4"/>
    <x v="6"/>
    <x v="136"/>
    <x v="53"/>
    <x v="0"/>
    <x v="0"/>
    <x v="24"/>
    <x v="52"/>
    <x v="3"/>
  </r>
  <r>
    <x v="24"/>
    <x v="0"/>
    <x v="4"/>
    <x v="6"/>
    <x v="123"/>
    <x v="53"/>
    <x v="0"/>
    <x v="1"/>
    <x v="37"/>
    <x v="52"/>
    <x v="3"/>
  </r>
  <r>
    <x v="1"/>
    <x v="0"/>
    <x v="4"/>
    <x v="8"/>
    <x v="135"/>
    <x v="54"/>
    <x v="1"/>
    <x v="0"/>
    <x v="25"/>
    <x v="53"/>
    <x v="2"/>
  </r>
  <r>
    <x v="96"/>
    <x v="0"/>
    <x v="4"/>
    <x v="8"/>
    <x v="121"/>
    <x v="54"/>
    <x v="1"/>
    <x v="1"/>
    <x v="39"/>
    <x v="53"/>
    <x v="2"/>
  </r>
  <r>
    <x v="84"/>
    <x v="0"/>
    <x v="0"/>
    <x v="15"/>
    <x v="91"/>
    <x v="55"/>
    <x v="1"/>
    <x v="0"/>
    <x v="69"/>
    <x v="54"/>
    <x v="2"/>
  </r>
  <r>
    <x v="161"/>
    <x v="0"/>
    <x v="0"/>
    <x v="15"/>
    <x v="78"/>
    <x v="55"/>
    <x v="1"/>
    <x v="1"/>
    <x v="82"/>
    <x v="54"/>
    <x v="2"/>
  </r>
  <r>
    <x v="157"/>
    <x v="0"/>
    <x v="0"/>
    <x v="14"/>
    <x v="155"/>
    <x v="56"/>
    <x v="1"/>
    <x v="0"/>
    <x v="5"/>
    <x v="55"/>
    <x v="2"/>
  </r>
  <r>
    <x v="104"/>
    <x v="0"/>
    <x v="0"/>
    <x v="14"/>
    <x v="148"/>
    <x v="56"/>
    <x v="1"/>
    <x v="1"/>
    <x v="12"/>
    <x v="55"/>
    <x v="2"/>
  </r>
  <r>
    <x v="112"/>
    <x v="0"/>
    <x v="4"/>
    <x v="20"/>
    <x v="62"/>
    <x v="57"/>
    <x v="1"/>
    <x v="0"/>
    <x v="98"/>
    <x v="56"/>
    <x v="2"/>
  </r>
  <r>
    <x v="59"/>
    <x v="0"/>
    <x v="4"/>
    <x v="20"/>
    <x v="48"/>
    <x v="57"/>
    <x v="1"/>
    <x v="1"/>
    <x v="112"/>
    <x v="56"/>
    <x v="2"/>
  </r>
  <r>
    <x v="31"/>
    <x v="1"/>
    <x v="4"/>
    <x v="18"/>
    <x v="63"/>
    <x v="58"/>
    <x v="3"/>
    <x v="0"/>
    <x v="97"/>
    <x v="57"/>
    <x v="1"/>
  </r>
  <r>
    <x v="56"/>
    <x v="1"/>
    <x v="4"/>
    <x v="18"/>
    <x v="49"/>
    <x v="58"/>
    <x v="3"/>
    <x v="1"/>
    <x v="111"/>
    <x v="57"/>
    <x v="1"/>
  </r>
  <r>
    <x v="42"/>
    <x v="2"/>
    <x v="4"/>
    <x v="7"/>
    <x v="45"/>
    <x v="59"/>
    <x v="0"/>
    <x v="0"/>
    <x v="115"/>
    <x v="58"/>
    <x v="3"/>
  </r>
  <r>
    <x v="85"/>
    <x v="2"/>
    <x v="4"/>
    <x v="8"/>
    <x v="34"/>
    <x v="59"/>
    <x v="0"/>
    <x v="1"/>
    <x v="126"/>
    <x v="58"/>
    <x v="3"/>
  </r>
  <r>
    <x v="102"/>
    <x v="2"/>
    <x v="4"/>
    <x v="13"/>
    <x v="151"/>
    <x v="60"/>
    <x v="1"/>
    <x v="0"/>
    <x v="9"/>
    <x v="59"/>
    <x v="2"/>
  </r>
  <r>
    <x v="135"/>
    <x v="2"/>
    <x v="4"/>
    <x v="13"/>
    <x v="140"/>
    <x v="60"/>
    <x v="1"/>
    <x v="1"/>
    <x v="20"/>
    <x v="59"/>
    <x v="2"/>
  </r>
  <r>
    <x v="50"/>
    <x v="1"/>
    <x v="0"/>
    <x v="8"/>
    <x v="38"/>
    <x v="61"/>
    <x v="0"/>
    <x v="0"/>
    <x v="122"/>
    <x v="60"/>
    <x v="3"/>
  </r>
  <r>
    <x v="82"/>
    <x v="1"/>
    <x v="0"/>
    <x v="8"/>
    <x v="26"/>
    <x v="61"/>
    <x v="0"/>
    <x v="1"/>
    <x v="134"/>
    <x v="60"/>
    <x v="3"/>
  </r>
  <r>
    <x v="98"/>
    <x v="0"/>
    <x v="0"/>
    <x v="15"/>
    <x v="86"/>
    <x v="62"/>
    <x v="1"/>
    <x v="0"/>
    <x v="74"/>
    <x v="61"/>
    <x v="2"/>
  </r>
  <r>
    <x v="40"/>
    <x v="0"/>
    <x v="0"/>
    <x v="15"/>
    <x v="73"/>
    <x v="62"/>
    <x v="1"/>
    <x v="1"/>
    <x v="87"/>
    <x v="61"/>
    <x v="2"/>
  </r>
  <r>
    <x v="67"/>
    <x v="0"/>
    <x v="3"/>
    <x v="6"/>
    <x v="33"/>
    <x v="63"/>
    <x v="1"/>
    <x v="0"/>
    <x v="127"/>
    <x v="62"/>
    <x v="2"/>
  </r>
  <r>
    <x v="129"/>
    <x v="0"/>
    <x v="3"/>
    <x v="6"/>
    <x v="21"/>
    <x v="63"/>
    <x v="1"/>
    <x v="1"/>
    <x v="139"/>
    <x v="62"/>
    <x v="2"/>
  </r>
  <r>
    <x v="165"/>
    <x v="0"/>
    <x v="4"/>
    <x v="14"/>
    <x v="31"/>
    <x v="64"/>
    <x v="1"/>
    <x v="0"/>
    <x v="129"/>
    <x v="63"/>
    <x v="2"/>
  </r>
  <r>
    <x v="160"/>
    <x v="0"/>
    <x v="4"/>
    <x v="14"/>
    <x v="19"/>
    <x v="64"/>
    <x v="1"/>
    <x v="1"/>
    <x v="141"/>
    <x v="63"/>
    <x v="2"/>
  </r>
  <r>
    <x v="34"/>
    <x v="1"/>
    <x v="0"/>
    <x v="11"/>
    <x v="114"/>
    <x v="65"/>
    <x v="1"/>
    <x v="0"/>
    <x v="46"/>
    <x v="64"/>
    <x v="2"/>
  </r>
  <r>
    <x v="114"/>
    <x v="1"/>
    <x v="0"/>
    <x v="11"/>
    <x v="103"/>
    <x v="65"/>
    <x v="1"/>
    <x v="1"/>
    <x v="57"/>
    <x v="64"/>
    <x v="2"/>
  </r>
  <r>
    <x v="158"/>
    <x v="1"/>
    <x v="2"/>
    <x v="20"/>
    <x v="43"/>
    <x v="66"/>
    <x v="1"/>
    <x v="0"/>
    <x v="117"/>
    <x v="65"/>
    <x v="2"/>
  </r>
  <r>
    <x v="18"/>
    <x v="1"/>
    <x v="2"/>
    <x v="20"/>
    <x v="32"/>
    <x v="66"/>
    <x v="1"/>
    <x v="1"/>
    <x v="128"/>
    <x v="65"/>
    <x v="2"/>
  </r>
  <r>
    <x v="21"/>
    <x v="0"/>
    <x v="2"/>
    <x v="9"/>
    <x v="122"/>
    <x v="67"/>
    <x v="1"/>
    <x v="0"/>
    <x v="38"/>
    <x v="66"/>
    <x v="2"/>
  </r>
  <r>
    <x v="172"/>
    <x v="0"/>
    <x v="2"/>
    <x v="9"/>
    <x v="109"/>
    <x v="67"/>
    <x v="1"/>
    <x v="1"/>
    <x v="51"/>
    <x v="66"/>
    <x v="2"/>
  </r>
  <r>
    <x v="33"/>
    <x v="1"/>
    <x v="4"/>
    <x v="5"/>
    <x v="135"/>
    <x v="68"/>
    <x v="1"/>
    <x v="0"/>
    <x v="25"/>
    <x v="67"/>
    <x v="2"/>
  </r>
  <r>
    <x v="8"/>
    <x v="1"/>
    <x v="4"/>
    <x v="5"/>
    <x v="121"/>
    <x v="68"/>
    <x v="1"/>
    <x v="1"/>
    <x v="39"/>
    <x v="67"/>
    <x v="2"/>
  </r>
  <r>
    <x v="47"/>
    <x v="1"/>
    <x v="2"/>
    <x v="12"/>
    <x v="143"/>
    <x v="69"/>
    <x v="1"/>
    <x v="0"/>
    <x v="17"/>
    <x v="68"/>
    <x v="2"/>
  </r>
  <r>
    <x v="145"/>
    <x v="1"/>
    <x v="2"/>
    <x v="12"/>
    <x v="129"/>
    <x v="69"/>
    <x v="1"/>
    <x v="1"/>
    <x v="31"/>
    <x v="68"/>
    <x v="2"/>
  </r>
  <r>
    <x v="30"/>
    <x v="0"/>
    <x v="2"/>
    <x v="9"/>
    <x v="126"/>
    <x v="70"/>
    <x v="1"/>
    <x v="0"/>
    <x v="34"/>
    <x v="69"/>
    <x v="2"/>
  </r>
  <r>
    <x v="144"/>
    <x v="0"/>
    <x v="2"/>
    <x v="9"/>
    <x v="110"/>
    <x v="70"/>
    <x v="1"/>
    <x v="1"/>
    <x v="50"/>
    <x v="69"/>
    <x v="2"/>
  </r>
  <r>
    <x v="28"/>
    <x v="0"/>
    <x v="4"/>
    <x v="20"/>
    <x v="72"/>
    <x v="71"/>
    <x v="1"/>
    <x v="0"/>
    <x v="88"/>
    <x v="70"/>
    <x v="2"/>
  </r>
  <r>
    <x v="109"/>
    <x v="0"/>
    <x v="4"/>
    <x v="20"/>
    <x v="56"/>
    <x v="71"/>
    <x v="1"/>
    <x v="1"/>
    <x v="104"/>
    <x v="70"/>
    <x v="2"/>
  </r>
  <r>
    <x v="78"/>
    <x v="0"/>
    <x v="2"/>
    <x v="9"/>
    <x v="95"/>
    <x v="72"/>
    <x v="1"/>
    <x v="0"/>
    <x v="65"/>
    <x v="71"/>
    <x v="2"/>
  </r>
  <r>
    <x v="151"/>
    <x v="0"/>
    <x v="2"/>
    <x v="9"/>
    <x v="82"/>
    <x v="72"/>
    <x v="1"/>
    <x v="1"/>
    <x v="78"/>
    <x v="71"/>
    <x v="2"/>
  </r>
  <r>
    <x v="92"/>
    <x v="1"/>
    <x v="2"/>
    <x v="4"/>
    <x v="85"/>
    <x v="73"/>
    <x v="1"/>
    <x v="0"/>
    <x v="75"/>
    <x v="72"/>
    <x v="2"/>
  </r>
  <r>
    <x v="138"/>
    <x v="1"/>
    <x v="2"/>
    <x v="4"/>
    <x v="71"/>
    <x v="73"/>
    <x v="1"/>
    <x v="1"/>
    <x v="89"/>
    <x v="72"/>
    <x v="2"/>
  </r>
  <r>
    <x v="80"/>
    <x v="1"/>
    <x v="4"/>
    <x v="1"/>
    <x v="91"/>
    <x v="74"/>
    <x v="1"/>
    <x v="0"/>
    <x v="69"/>
    <x v="73"/>
    <x v="2"/>
  </r>
  <r>
    <x v="70"/>
    <x v="1"/>
    <x v="4"/>
    <x v="1"/>
    <x v="78"/>
    <x v="74"/>
    <x v="1"/>
    <x v="1"/>
    <x v="82"/>
    <x v="73"/>
    <x v="2"/>
  </r>
  <r>
    <x v="130"/>
    <x v="0"/>
    <x v="3"/>
    <x v="19"/>
    <x v="70"/>
    <x v="75"/>
    <x v="2"/>
    <x v="0"/>
    <x v="90"/>
    <x v="74"/>
    <x v="4"/>
  </r>
  <r>
    <x v="146"/>
    <x v="0"/>
    <x v="3"/>
    <x v="19"/>
    <x v="54"/>
    <x v="75"/>
    <x v="2"/>
    <x v="1"/>
    <x v="106"/>
    <x v="74"/>
    <x v="4"/>
  </r>
  <r>
    <x v="101"/>
    <x v="1"/>
    <x v="2"/>
    <x v="6"/>
    <x v="144"/>
    <x v="76"/>
    <x v="0"/>
    <x v="0"/>
    <x v="16"/>
    <x v="75"/>
    <x v="3"/>
  </r>
  <r>
    <x v="37"/>
    <x v="1"/>
    <x v="2"/>
    <x v="6"/>
    <x v="130"/>
    <x v="76"/>
    <x v="0"/>
    <x v="1"/>
    <x v="30"/>
    <x v="75"/>
    <x v="3"/>
  </r>
  <r>
    <x v="22"/>
    <x v="1"/>
    <x v="4"/>
    <x v="10"/>
    <x v="27"/>
    <x v="77"/>
    <x v="3"/>
    <x v="0"/>
    <x v="133"/>
    <x v="76"/>
    <x v="1"/>
  </r>
  <r>
    <x v="120"/>
    <x v="1"/>
    <x v="4"/>
    <x v="10"/>
    <x v="16"/>
    <x v="77"/>
    <x v="3"/>
    <x v="1"/>
    <x v="144"/>
    <x v="76"/>
    <x v="1"/>
  </r>
  <r>
    <x v="64"/>
    <x v="0"/>
    <x v="2"/>
    <x v="11"/>
    <x v="158"/>
    <x v="78"/>
    <x v="1"/>
    <x v="0"/>
    <x v="2"/>
    <x v="77"/>
    <x v="2"/>
  </r>
  <r>
    <x v="107"/>
    <x v="0"/>
    <x v="2"/>
    <x v="11"/>
    <x v="154"/>
    <x v="78"/>
    <x v="1"/>
    <x v="1"/>
    <x v="6"/>
    <x v="77"/>
    <x v="2"/>
  </r>
  <r>
    <x v="115"/>
    <x v="1"/>
    <x v="4"/>
    <x v="1"/>
    <x v="29"/>
    <x v="79"/>
    <x v="1"/>
    <x v="0"/>
    <x v="131"/>
    <x v="78"/>
    <x v="2"/>
  </r>
  <r>
    <x v="115"/>
    <x v="1"/>
    <x v="2"/>
    <x v="15"/>
    <x v="139"/>
    <x v="79"/>
    <x v="1"/>
    <x v="0"/>
    <x v="21"/>
    <x v="78"/>
    <x v="2"/>
  </r>
  <r>
    <x v="39"/>
    <x v="1"/>
    <x v="4"/>
    <x v="1"/>
    <x v="17"/>
    <x v="79"/>
    <x v="1"/>
    <x v="1"/>
    <x v="143"/>
    <x v="78"/>
    <x v="2"/>
  </r>
  <r>
    <x v="16"/>
    <x v="1"/>
    <x v="2"/>
    <x v="15"/>
    <x v="125"/>
    <x v="79"/>
    <x v="1"/>
    <x v="1"/>
    <x v="35"/>
    <x v="78"/>
    <x v="2"/>
  </r>
  <r>
    <x v="100"/>
    <x v="1"/>
    <x v="3"/>
    <x v="3"/>
    <x v="87"/>
    <x v="80"/>
    <x v="0"/>
    <x v="0"/>
    <x v="73"/>
    <x v="79"/>
    <x v="3"/>
  </r>
  <r>
    <x v="93"/>
    <x v="1"/>
    <x v="3"/>
    <x v="3"/>
    <x v="74"/>
    <x v="80"/>
    <x v="0"/>
    <x v="1"/>
    <x v="86"/>
    <x v="79"/>
    <x v="3"/>
  </r>
  <r>
    <x v="105"/>
    <x v="1"/>
    <x v="2"/>
    <x v="8"/>
    <x v="116"/>
    <x v="81"/>
    <x v="4"/>
    <x v="0"/>
    <x v="44"/>
    <x v="80"/>
    <x v="0"/>
  </r>
  <r>
    <x v="73"/>
    <x v="1"/>
    <x v="2"/>
    <x v="8"/>
    <x v="104"/>
    <x v="81"/>
    <x v="4"/>
    <x v="1"/>
    <x v="56"/>
    <x v="80"/>
    <x v="0"/>
  </r>
  <r>
    <x v="68"/>
    <x v="0"/>
    <x v="2"/>
    <x v="11"/>
    <x v="157"/>
    <x v="82"/>
    <x v="1"/>
    <x v="0"/>
    <x v="3"/>
    <x v="81"/>
    <x v="2"/>
  </r>
  <r>
    <x v="143"/>
    <x v="0"/>
    <x v="2"/>
    <x v="11"/>
    <x v="153"/>
    <x v="82"/>
    <x v="1"/>
    <x v="1"/>
    <x v="7"/>
    <x v="81"/>
    <x v="2"/>
  </r>
  <r>
    <x v="179"/>
    <x v="0"/>
    <x v="4"/>
    <x v="22"/>
    <x v="160"/>
    <x v="83"/>
    <x v="1"/>
    <x v="0"/>
    <x v="0"/>
    <x v="82"/>
    <x v="2"/>
  </r>
  <r>
    <x v="132"/>
    <x v="0"/>
    <x v="4"/>
    <x v="23"/>
    <x v="159"/>
    <x v="83"/>
    <x v="1"/>
    <x v="1"/>
    <x v="1"/>
    <x v="82"/>
    <x v="2"/>
  </r>
  <r>
    <x v="166"/>
    <x v="0"/>
    <x v="2"/>
    <x v="17"/>
    <x v="12"/>
    <x v="84"/>
    <x v="1"/>
    <x v="0"/>
    <x v="148"/>
    <x v="82"/>
    <x v="2"/>
  </r>
  <r>
    <x v="44"/>
    <x v="0"/>
    <x v="2"/>
    <x v="17"/>
    <x v="5"/>
    <x v="84"/>
    <x v="1"/>
    <x v="1"/>
    <x v="155"/>
    <x v="82"/>
    <x v="2"/>
  </r>
  <r>
    <x v="20"/>
    <x v="2"/>
    <x v="0"/>
    <x v="18"/>
    <x v="23"/>
    <x v="85"/>
    <x v="3"/>
    <x v="0"/>
    <x v="137"/>
    <x v="83"/>
    <x v="1"/>
  </r>
  <r>
    <x v="139"/>
    <x v="2"/>
    <x v="0"/>
    <x v="18"/>
    <x v="12"/>
    <x v="85"/>
    <x v="3"/>
    <x v="1"/>
    <x v="148"/>
    <x v="83"/>
    <x v="1"/>
  </r>
  <r>
    <x v="134"/>
    <x v="1"/>
    <x v="2"/>
    <x v="14"/>
    <x v="25"/>
    <x v="86"/>
    <x v="1"/>
    <x v="0"/>
    <x v="135"/>
    <x v="84"/>
    <x v="2"/>
  </r>
  <r>
    <x v="142"/>
    <x v="1"/>
    <x v="2"/>
    <x v="14"/>
    <x v="14"/>
    <x v="86"/>
    <x v="1"/>
    <x v="1"/>
    <x v="146"/>
    <x v="84"/>
    <x v="2"/>
  </r>
  <r>
    <x v="169"/>
    <x v="0"/>
    <x v="1"/>
    <x v="18"/>
    <x v="90"/>
    <x v="87"/>
    <x v="1"/>
    <x v="0"/>
    <x v="70"/>
    <x v="85"/>
    <x v="2"/>
  </r>
  <r>
    <x v="81"/>
    <x v="0"/>
    <x v="1"/>
    <x v="18"/>
    <x v="77"/>
    <x v="87"/>
    <x v="1"/>
    <x v="1"/>
    <x v="83"/>
    <x v="85"/>
    <x v="2"/>
  </r>
  <r>
    <x v="163"/>
    <x v="1"/>
    <x v="4"/>
    <x v="17"/>
    <x v="4"/>
    <x v="88"/>
    <x v="1"/>
    <x v="0"/>
    <x v="156"/>
    <x v="86"/>
    <x v="2"/>
  </r>
  <r>
    <x v="65"/>
    <x v="1"/>
    <x v="4"/>
    <x v="17"/>
    <x v="0"/>
    <x v="88"/>
    <x v="1"/>
    <x v="1"/>
    <x v="160"/>
    <x v="86"/>
    <x v="2"/>
  </r>
  <r>
    <x v="53"/>
    <x v="0"/>
    <x v="1"/>
    <x v="8"/>
    <x v="17"/>
    <x v="89"/>
    <x v="1"/>
    <x v="0"/>
    <x v="143"/>
    <x v="87"/>
    <x v="2"/>
  </r>
  <r>
    <x v="10"/>
    <x v="0"/>
    <x v="1"/>
    <x v="8"/>
    <x v="8"/>
    <x v="89"/>
    <x v="1"/>
    <x v="1"/>
    <x v="152"/>
    <x v="87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2">
  <r>
    <x v="26"/>
    <x v="1"/>
    <x v="4"/>
    <x v="17"/>
    <x v="0"/>
    <x v="88"/>
    <x v="1"/>
    <x v="0"/>
    <x v="0"/>
    <x v="4"/>
    <x v="8"/>
  </r>
  <r>
    <x v="26"/>
    <x v="1"/>
    <x v="4"/>
    <x v="17"/>
    <x v="0"/>
    <x v="88"/>
    <x v="1"/>
    <x v="0"/>
    <x v="0"/>
    <x v="4"/>
    <x v="8"/>
  </r>
  <r>
    <x v="81"/>
    <x v="0"/>
    <x v="4"/>
    <x v="10"/>
    <x v="1"/>
    <x v="1"/>
    <x v="1"/>
    <x v="0"/>
    <x v="0"/>
    <x v="4"/>
    <x v="8"/>
  </r>
  <r>
    <x v="7"/>
    <x v="1"/>
    <x v="0"/>
    <x v="9"/>
    <x v="2"/>
    <x v="11"/>
    <x v="0"/>
    <x v="0"/>
    <x v="0"/>
    <x v="4"/>
    <x v="8"/>
  </r>
  <r>
    <x v="7"/>
    <x v="1"/>
    <x v="0"/>
    <x v="9"/>
    <x v="2"/>
    <x v="11"/>
    <x v="0"/>
    <x v="0"/>
    <x v="0"/>
    <x v="4"/>
    <x v="8"/>
  </r>
  <r>
    <x v="37"/>
    <x v="0"/>
    <x v="0"/>
    <x v="14"/>
    <x v="3"/>
    <x v="31"/>
    <x v="1"/>
    <x v="0"/>
    <x v="0"/>
    <x v="5"/>
    <x v="6"/>
  </r>
  <r>
    <x v="20"/>
    <x v="0"/>
    <x v="2"/>
    <x v="17"/>
    <x v="4"/>
    <x v="84"/>
    <x v="1"/>
    <x v="0"/>
    <x v="0"/>
    <x v="6"/>
    <x v="5"/>
  </r>
  <r>
    <x v="2"/>
    <x v="1"/>
    <x v="2"/>
    <x v="2"/>
    <x v="5"/>
    <x v="3"/>
    <x v="1"/>
    <x v="0"/>
    <x v="0"/>
    <x v="6"/>
    <x v="5"/>
  </r>
  <r>
    <x v="2"/>
    <x v="1"/>
    <x v="2"/>
    <x v="2"/>
    <x v="5"/>
    <x v="3"/>
    <x v="1"/>
    <x v="0"/>
    <x v="0"/>
    <x v="6"/>
    <x v="5"/>
  </r>
  <r>
    <x v="5"/>
    <x v="0"/>
    <x v="1"/>
    <x v="8"/>
    <x v="6"/>
    <x v="89"/>
    <x v="1"/>
    <x v="0"/>
    <x v="0"/>
    <x v="7"/>
    <x v="1"/>
  </r>
  <r>
    <x v="67"/>
    <x v="1"/>
    <x v="3"/>
    <x v="8"/>
    <x v="7"/>
    <x v="20"/>
    <x v="1"/>
    <x v="0"/>
    <x v="0"/>
    <x v="7"/>
    <x v="1"/>
  </r>
  <r>
    <x v="31"/>
    <x v="0"/>
    <x v="4"/>
    <x v="12"/>
    <x v="8"/>
    <x v="6"/>
    <x v="1"/>
    <x v="0"/>
    <x v="0"/>
    <x v="8"/>
    <x v="11"/>
  </r>
  <r>
    <x v="65"/>
    <x v="2"/>
    <x v="0"/>
    <x v="18"/>
    <x v="9"/>
    <x v="85"/>
    <x v="3"/>
    <x v="0"/>
    <x v="0"/>
    <x v="8"/>
    <x v="11"/>
  </r>
  <r>
    <x v="65"/>
    <x v="2"/>
    <x v="0"/>
    <x v="18"/>
    <x v="9"/>
    <x v="85"/>
    <x v="3"/>
    <x v="0"/>
    <x v="0"/>
    <x v="8"/>
    <x v="11"/>
  </r>
  <r>
    <x v="21"/>
    <x v="0"/>
    <x v="4"/>
    <x v="5"/>
    <x v="10"/>
    <x v="29"/>
    <x v="1"/>
    <x v="0"/>
    <x v="0"/>
    <x v="8"/>
    <x v="11"/>
  </r>
  <r>
    <x v="68"/>
    <x v="1"/>
    <x v="2"/>
    <x v="14"/>
    <x v="11"/>
    <x v="86"/>
    <x v="1"/>
    <x v="0"/>
    <x v="0"/>
    <x v="8"/>
    <x v="11"/>
  </r>
  <r>
    <x v="52"/>
    <x v="1"/>
    <x v="4"/>
    <x v="10"/>
    <x v="12"/>
    <x v="77"/>
    <x v="3"/>
    <x v="0"/>
    <x v="0"/>
    <x v="9"/>
    <x v="10"/>
  </r>
  <r>
    <x v="17"/>
    <x v="1"/>
    <x v="4"/>
    <x v="1"/>
    <x v="13"/>
    <x v="79"/>
    <x v="1"/>
    <x v="0"/>
    <x v="0"/>
    <x v="9"/>
    <x v="10"/>
  </r>
  <r>
    <x v="17"/>
    <x v="1"/>
    <x v="4"/>
    <x v="1"/>
    <x v="13"/>
    <x v="79"/>
    <x v="1"/>
    <x v="0"/>
    <x v="0"/>
    <x v="9"/>
    <x v="10"/>
  </r>
  <r>
    <x v="30"/>
    <x v="0"/>
    <x v="0"/>
    <x v="9"/>
    <x v="14"/>
    <x v="48"/>
    <x v="1"/>
    <x v="0"/>
    <x v="0"/>
    <x v="9"/>
    <x v="10"/>
  </r>
  <r>
    <x v="82"/>
    <x v="0"/>
    <x v="4"/>
    <x v="14"/>
    <x v="15"/>
    <x v="64"/>
    <x v="1"/>
    <x v="0"/>
    <x v="0"/>
    <x v="9"/>
    <x v="10"/>
  </r>
  <r>
    <x v="57"/>
    <x v="0"/>
    <x v="3"/>
    <x v="6"/>
    <x v="16"/>
    <x v="63"/>
    <x v="1"/>
    <x v="0"/>
    <x v="0"/>
    <x v="10"/>
    <x v="9"/>
  </r>
  <r>
    <x v="57"/>
    <x v="0"/>
    <x v="3"/>
    <x v="6"/>
    <x v="16"/>
    <x v="63"/>
    <x v="1"/>
    <x v="0"/>
    <x v="0"/>
    <x v="10"/>
    <x v="9"/>
  </r>
  <r>
    <x v="76"/>
    <x v="1"/>
    <x v="2"/>
    <x v="7"/>
    <x v="17"/>
    <x v="10"/>
    <x v="1"/>
    <x v="0"/>
    <x v="0"/>
    <x v="10"/>
    <x v="9"/>
  </r>
  <r>
    <x v="34"/>
    <x v="1"/>
    <x v="0"/>
    <x v="8"/>
    <x v="18"/>
    <x v="61"/>
    <x v="0"/>
    <x v="0"/>
    <x v="0"/>
    <x v="11"/>
    <x v="2"/>
  </r>
  <r>
    <x v="66"/>
    <x v="1"/>
    <x v="1"/>
    <x v="2"/>
    <x v="19"/>
    <x v="47"/>
    <x v="1"/>
    <x v="0"/>
    <x v="0"/>
    <x v="11"/>
    <x v="2"/>
  </r>
  <r>
    <x v="8"/>
    <x v="1"/>
    <x v="0"/>
    <x v="14"/>
    <x v="20"/>
    <x v="26"/>
    <x v="1"/>
    <x v="0"/>
    <x v="0"/>
    <x v="11"/>
    <x v="2"/>
  </r>
  <r>
    <x v="11"/>
    <x v="1"/>
    <x v="2"/>
    <x v="20"/>
    <x v="21"/>
    <x v="66"/>
    <x v="1"/>
    <x v="0"/>
    <x v="1"/>
    <x v="0"/>
    <x v="4"/>
  </r>
  <r>
    <x v="36"/>
    <x v="2"/>
    <x v="4"/>
    <x v="8"/>
    <x v="22"/>
    <x v="59"/>
    <x v="0"/>
    <x v="0"/>
    <x v="1"/>
    <x v="0"/>
    <x v="4"/>
  </r>
  <r>
    <x v="58"/>
    <x v="1"/>
    <x v="4"/>
    <x v="11"/>
    <x v="23"/>
    <x v="38"/>
    <x v="1"/>
    <x v="0"/>
    <x v="1"/>
    <x v="0"/>
    <x v="4"/>
  </r>
  <r>
    <x v="88"/>
    <x v="1"/>
    <x v="2"/>
    <x v="0"/>
    <x v="24"/>
    <x v="25"/>
    <x v="1"/>
    <x v="0"/>
    <x v="1"/>
    <x v="0"/>
    <x v="4"/>
  </r>
  <r>
    <x v="27"/>
    <x v="0"/>
    <x v="4"/>
    <x v="14"/>
    <x v="25"/>
    <x v="45"/>
    <x v="1"/>
    <x v="0"/>
    <x v="1"/>
    <x v="1"/>
    <x v="3"/>
  </r>
  <r>
    <x v="1"/>
    <x v="0"/>
    <x v="0"/>
    <x v="2"/>
    <x v="26"/>
    <x v="33"/>
    <x v="1"/>
    <x v="0"/>
    <x v="1"/>
    <x v="2"/>
    <x v="7"/>
  </r>
  <r>
    <x v="49"/>
    <x v="0"/>
    <x v="3"/>
    <x v="19"/>
    <x v="27"/>
    <x v="21"/>
    <x v="0"/>
    <x v="0"/>
    <x v="1"/>
    <x v="2"/>
    <x v="7"/>
  </r>
  <r>
    <x v="49"/>
    <x v="0"/>
    <x v="3"/>
    <x v="19"/>
    <x v="27"/>
    <x v="21"/>
    <x v="0"/>
    <x v="0"/>
    <x v="1"/>
    <x v="2"/>
    <x v="7"/>
  </r>
  <r>
    <x v="40"/>
    <x v="1"/>
    <x v="0"/>
    <x v="17"/>
    <x v="28"/>
    <x v="42"/>
    <x v="1"/>
    <x v="0"/>
    <x v="1"/>
    <x v="2"/>
    <x v="7"/>
  </r>
  <r>
    <x v="24"/>
    <x v="0"/>
    <x v="4"/>
    <x v="20"/>
    <x v="29"/>
    <x v="57"/>
    <x v="1"/>
    <x v="0"/>
    <x v="1"/>
    <x v="2"/>
    <x v="7"/>
  </r>
  <r>
    <x v="22"/>
    <x v="1"/>
    <x v="4"/>
    <x v="18"/>
    <x v="30"/>
    <x v="58"/>
    <x v="3"/>
    <x v="0"/>
    <x v="1"/>
    <x v="2"/>
    <x v="7"/>
  </r>
  <r>
    <x v="90"/>
    <x v="0"/>
    <x v="4"/>
    <x v="13"/>
    <x v="31"/>
    <x v="8"/>
    <x v="0"/>
    <x v="0"/>
    <x v="1"/>
    <x v="3"/>
    <x v="0"/>
  </r>
  <r>
    <x v="90"/>
    <x v="0"/>
    <x v="4"/>
    <x v="13"/>
    <x v="31"/>
    <x v="8"/>
    <x v="0"/>
    <x v="0"/>
    <x v="1"/>
    <x v="3"/>
    <x v="0"/>
  </r>
  <r>
    <x v="6"/>
    <x v="0"/>
    <x v="3"/>
    <x v="9"/>
    <x v="32"/>
    <x v="17"/>
    <x v="1"/>
    <x v="0"/>
    <x v="1"/>
    <x v="3"/>
    <x v="0"/>
  </r>
  <r>
    <x v="9"/>
    <x v="0"/>
    <x v="4"/>
    <x v="14"/>
    <x v="33"/>
    <x v="46"/>
    <x v="4"/>
    <x v="0"/>
    <x v="1"/>
    <x v="3"/>
    <x v="0"/>
  </r>
  <r>
    <x v="72"/>
    <x v="0"/>
    <x v="3"/>
    <x v="19"/>
    <x v="34"/>
    <x v="75"/>
    <x v="2"/>
    <x v="0"/>
    <x v="1"/>
    <x v="3"/>
    <x v="0"/>
  </r>
  <r>
    <x v="47"/>
    <x v="0"/>
    <x v="4"/>
    <x v="20"/>
    <x v="35"/>
    <x v="71"/>
    <x v="1"/>
    <x v="0"/>
    <x v="1"/>
    <x v="4"/>
    <x v="8"/>
  </r>
  <r>
    <x v="47"/>
    <x v="0"/>
    <x v="4"/>
    <x v="20"/>
    <x v="35"/>
    <x v="71"/>
    <x v="1"/>
    <x v="0"/>
    <x v="1"/>
    <x v="4"/>
    <x v="8"/>
  </r>
  <r>
    <x v="0"/>
    <x v="1"/>
    <x v="3"/>
    <x v="6"/>
    <x v="36"/>
    <x v="32"/>
    <x v="1"/>
    <x v="0"/>
    <x v="1"/>
    <x v="4"/>
    <x v="8"/>
  </r>
  <r>
    <x v="91"/>
    <x v="1"/>
    <x v="3"/>
    <x v="14"/>
    <x v="37"/>
    <x v="43"/>
    <x v="1"/>
    <x v="0"/>
    <x v="1"/>
    <x v="4"/>
    <x v="8"/>
  </r>
  <r>
    <x v="91"/>
    <x v="1"/>
    <x v="3"/>
    <x v="14"/>
    <x v="37"/>
    <x v="43"/>
    <x v="1"/>
    <x v="0"/>
    <x v="1"/>
    <x v="4"/>
    <x v="8"/>
  </r>
  <r>
    <x v="35"/>
    <x v="0"/>
    <x v="0"/>
    <x v="11"/>
    <x v="38"/>
    <x v="34"/>
    <x v="3"/>
    <x v="0"/>
    <x v="1"/>
    <x v="4"/>
    <x v="8"/>
  </r>
  <r>
    <x v="43"/>
    <x v="0"/>
    <x v="1"/>
    <x v="13"/>
    <x v="39"/>
    <x v="9"/>
    <x v="1"/>
    <x v="0"/>
    <x v="1"/>
    <x v="4"/>
    <x v="8"/>
  </r>
  <r>
    <x v="43"/>
    <x v="0"/>
    <x v="1"/>
    <x v="13"/>
    <x v="39"/>
    <x v="9"/>
    <x v="1"/>
    <x v="0"/>
    <x v="1"/>
    <x v="4"/>
    <x v="8"/>
  </r>
  <r>
    <x v="14"/>
    <x v="1"/>
    <x v="2"/>
    <x v="7"/>
    <x v="40"/>
    <x v="18"/>
    <x v="1"/>
    <x v="0"/>
    <x v="1"/>
    <x v="5"/>
    <x v="6"/>
  </r>
  <r>
    <x v="25"/>
    <x v="1"/>
    <x v="0"/>
    <x v="5"/>
    <x v="41"/>
    <x v="16"/>
    <x v="3"/>
    <x v="0"/>
    <x v="1"/>
    <x v="5"/>
    <x v="6"/>
  </r>
  <r>
    <x v="64"/>
    <x v="1"/>
    <x v="2"/>
    <x v="4"/>
    <x v="42"/>
    <x v="73"/>
    <x v="1"/>
    <x v="0"/>
    <x v="1"/>
    <x v="6"/>
    <x v="5"/>
  </r>
  <r>
    <x v="18"/>
    <x v="0"/>
    <x v="0"/>
    <x v="15"/>
    <x v="43"/>
    <x v="62"/>
    <x v="1"/>
    <x v="0"/>
    <x v="1"/>
    <x v="6"/>
    <x v="5"/>
  </r>
  <r>
    <x v="38"/>
    <x v="1"/>
    <x v="3"/>
    <x v="3"/>
    <x v="44"/>
    <x v="80"/>
    <x v="0"/>
    <x v="0"/>
    <x v="1"/>
    <x v="6"/>
    <x v="5"/>
  </r>
  <r>
    <x v="78"/>
    <x v="0"/>
    <x v="2"/>
    <x v="3"/>
    <x v="45"/>
    <x v="49"/>
    <x v="0"/>
    <x v="0"/>
    <x v="1"/>
    <x v="6"/>
    <x v="5"/>
  </r>
  <r>
    <x v="78"/>
    <x v="0"/>
    <x v="2"/>
    <x v="3"/>
    <x v="45"/>
    <x v="49"/>
    <x v="0"/>
    <x v="0"/>
    <x v="1"/>
    <x v="6"/>
    <x v="5"/>
  </r>
  <r>
    <x v="33"/>
    <x v="0"/>
    <x v="1"/>
    <x v="18"/>
    <x v="46"/>
    <x v="87"/>
    <x v="1"/>
    <x v="0"/>
    <x v="1"/>
    <x v="6"/>
    <x v="5"/>
  </r>
  <r>
    <x v="83"/>
    <x v="0"/>
    <x v="0"/>
    <x v="15"/>
    <x v="47"/>
    <x v="55"/>
    <x v="1"/>
    <x v="0"/>
    <x v="1"/>
    <x v="6"/>
    <x v="5"/>
  </r>
  <r>
    <x v="28"/>
    <x v="1"/>
    <x v="4"/>
    <x v="1"/>
    <x v="47"/>
    <x v="74"/>
    <x v="1"/>
    <x v="0"/>
    <x v="1"/>
    <x v="6"/>
    <x v="5"/>
  </r>
  <r>
    <x v="23"/>
    <x v="1"/>
    <x v="3"/>
    <x v="13"/>
    <x v="48"/>
    <x v="18"/>
    <x v="1"/>
    <x v="0"/>
    <x v="1"/>
    <x v="6"/>
    <x v="5"/>
  </r>
  <r>
    <x v="75"/>
    <x v="0"/>
    <x v="2"/>
    <x v="9"/>
    <x v="49"/>
    <x v="72"/>
    <x v="1"/>
    <x v="0"/>
    <x v="1"/>
    <x v="7"/>
    <x v="1"/>
  </r>
  <r>
    <x v="80"/>
    <x v="0"/>
    <x v="3"/>
    <x v="17"/>
    <x v="50"/>
    <x v="51"/>
    <x v="1"/>
    <x v="0"/>
    <x v="1"/>
    <x v="7"/>
    <x v="1"/>
  </r>
  <r>
    <x v="54"/>
    <x v="1"/>
    <x v="4"/>
    <x v="14"/>
    <x v="51"/>
    <x v="19"/>
    <x v="1"/>
    <x v="0"/>
    <x v="1"/>
    <x v="8"/>
    <x v="11"/>
  </r>
  <r>
    <x v="3"/>
    <x v="1"/>
    <x v="4"/>
    <x v="12"/>
    <x v="52"/>
    <x v="13"/>
    <x v="1"/>
    <x v="0"/>
    <x v="1"/>
    <x v="8"/>
    <x v="11"/>
  </r>
  <r>
    <x v="63"/>
    <x v="0"/>
    <x v="2"/>
    <x v="17"/>
    <x v="53"/>
    <x v="50"/>
    <x v="1"/>
    <x v="0"/>
    <x v="1"/>
    <x v="8"/>
    <x v="11"/>
  </r>
  <r>
    <x v="19"/>
    <x v="0"/>
    <x v="3"/>
    <x v="1"/>
    <x v="54"/>
    <x v="36"/>
    <x v="3"/>
    <x v="0"/>
    <x v="1"/>
    <x v="9"/>
    <x v="10"/>
  </r>
  <r>
    <x v="86"/>
    <x v="1"/>
    <x v="0"/>
    <x v="8"/>
    <x v="55"/>
    <x v="14"/>
    <x v="1"/>
    <x v="0"/>
    <x v="1"/>
    <x v="10"/>
    <x v="9"/>
  </r>
  <r>
    <x v="85"/>
    <x v="2"/>
    <x v="0"/>
    <x v="11"/>
    <x v="56"/>
    <x v="30"/>
    <x v="1"/>
    <x v="0"/>
    <x v="1"/>
    <x v="11"/>
    <x v="2"/>
  </r>
  <r>
    <x v="50"/>
    <x v="1"/>
    <x v="0"/>
    <x v="11"/>
    <x v="57"/>
    <x v="65"/>
    <x v="1"/>
    <x v="0"/>
    <x v="1"/>
    <x v="11"/>
    <x v="2"/>
  </r>
  <r>
    <x v="50"/>
    <x v="1"/>
    <x v="0"/>
    <x v="11"/>
    <x v="57"/>
    <x v="65"/>
    <x v="1"/>
    <x v="0"/>
    <x v="1"/>
    <x v="11"/>
    <x v="2"/>
  </r>
  <r>
    <x v="29"/>
    <x v="1"/>
    <x v="2"/>
    <x v="8"/>
    <x v="58"/>
    <x v="81"/>
    <x v="4"/>
    <x v="0"/>
    <x v="1"/>
    <x v="11"/>
    <x v="2"/>
  </r>
  <r>
    <x v="56"/>
    <x v="0"/>
    <x v="2"/>
    <x v="13"/>
    <x v="59"/>
    <x v="5"/>
    <x v="1"/>
    <x v="0"/>
    <x v="1"/>
    <x v="11"/>
    <x v="2"/>
  </r>
  <r>
    <x v="42"/>
    <x v="0"/>
    <x v="0"/>
    <x v="15"/>
    <x v="60"/>
    <x v="27"/>
    <x v="1"/>
    <x v="0"/>
    <x v="1"/>
    <x v="11"/>
    <x v="2"/>
  </r>
  <r>
    <x v="89"/>
    <x v="1"/>
    <x v="3"/>
    <x v="22"/>
    <x v="61"/>
    <x v="2"/>
    <x v="1"/>
    <x v="0"/>
    <x v="1"/>
    <x v="11"/>
    <x v="2"/>
  </r>
  <r>
    <x v="87"/>
    <x v="0"/>
    <x v="2"/>
    <x v="9"/>
    <x v="62"/>
    <x v="67"/>
    <x v="1"/>
    <x v="0"/>
    <x v="2"/>
    <x v="0"/>
    <x v="4"/>
  </r>
  <r>
    <x v="70"/>
    <x v="0"/>
    <x v="2"/>
    <x v="9"/>
    <x v="63"/>
    <x v="70"/>
    <x v="1"/>
    <x v="0"/>
    <x v="2"/>
    <x v="0"/>
    <x v="4"/>
  </r>
  <r>
    <x v="39"/>
    <x v="0"/>
    <x v="0"/>
    <x v="15"/>
    <x v="64"/>
    <x v="24"/>
    <x v="1"/>
    <x v="0"/>
    <x v="2"/>
    <x v="1"/>
    <x v="3"/>
  </r>
  <r>
    <x v="55"/>
    <x v="0"/>
    <x v="4"/>
    <x v="12"/>
    <x v="65"/>
    <x v="23"/>
    <x v="1"/>
    <x v="0"/>
    <x v="2"/>
    <x v="1"/>
    <x v="3"/>
  </r>
  <r>
    <x v="48"/>
    <x v="1"/>
    <x v="2"/>
    <x v="11"/>
    <x v="66"/>
    <x v="28"/>
    <x v="1"/>
    <x v="0"/>
    <x v="2"/>
    <x v="1"/>
    <x v="3"/>
  </r>
  <r>
    <x v="79"/>
    <x v="0"/>
    <x v="4"/>
    <x v="2"/>
    <x v="67"/>
    <x v="0"/>
    <x v="1"/>
    <x v="0"/>
    <x v="2"/>
    <x v="1"/>
    <x v="3"/>
  </r>
  <r>
    <x v="4"/>
    <x v="1"/>
    <x v="4"/>
    <x v="5"/>
    <x v="68"/>
    <x v="68"/>
    <x v="1"/>
    <x v="0"/>
    <x v="2"/>
    <x v="2"/>
    <x v="7"/>
  </r>
  <r>
    <x v="41"/>
    <x v="0"/>
    <x v="4"/>
    <x v="8"/>
    <x v="68"/>
    <x v="54"/>
    <x v="1"/>
    <x v="0"/>
    <x v="2"/>
    <x v="2"/>
    <x v="7"/>
  </r>
  <r>
    <x v="12"/>
    <x v="0"/>
    <x v="4"/>
    <x v="6"/>
    <x v="69"/>
    <x v="53"/>
    <x v="0"/>
    <x v="0"/>
    <x v="2"/>
    <x v="2"/>
    <x v="7"/>
  </r>
  <r>
    <x v="32"/>
    <x v="1"/>
    <x v="4"/>
    <x v="18"/>
    <x v="70"/>
    <x v="37"/>
    <x v="1"/>
    <x v="0"/>
    <x v="2"/>
    <x v="2"/>
    <x v="7"/>
  </r>
  <r>
    <x v="45"/>
    <x v="1"/>
    <x v="2"/>
    <x v="11"/>
    <x v="70"/>
    <x v="35"/>
    <x v="1"/>
    <x v="0"/>
    <x v="2"/>
    <x v="2"/>
    <x v="7"/>
  </r>
  <r>
    <x v="53"/>
    <x v="1"/>
    <x v="2"/>
    <x v="14"/>
    <x v="70"/>
    <x v="12"/>
    <x v="0"/>
    <x v="0"/>
    <x v="2"/>
    <x v="2"/>
    <x v="7"/>
  </r>
  <r>
    <x v="10"/>
    <x v="1"/>
    <x v="2"/>
    <x v="15"/>
    <x v="71"/>
    <x v="79"/>
    <x v="1"/>
    <x v="0"/>
    <x v="2"/>
    <x v="2"/>
    <x v="7"/>
  </r>
  <r>
    <x v="10"/>
    <x v="1"/>
    <x v="2"/>
    <x v="15"/>
    <x v="71"/>
    <x v="79"/>
    <x v="1"/>
    <x v="0"/>
    <x v="2"/>
    <x v="2"/>
    <x v="7"/>
  </r>
  <r>
    <x v="16"/>
    <x v="0"/>
    <x v="3"/>
    <x v="15"/>
    <x v="72"/>
    <x v="15"/>
    <x v="3"/>
    <x v="0"/>
    <x v="2"/>
    <x v="3"/>
    <x v="0"/>
  </r>
  <r>
    <x v="16"/>
    <x v="0"/>
    <x v="3"/>
    <x v="15"/>
    <x v="72"/>
    <x v="15"/>
    <x v="3"/>
    <x v="0"/>
    <x v="2"/>
    <x v="3"/>
    <x v="0"/>
  </r>
  <r>
    <x v="71"/>
    <x v="1"/>
    <x v="2"/>
    <x v="12"/>
    <x v="73"/>
    <x v="69"/>
    <x v="1"/>
    <x v="0"/>
    <x v="2"/>
    <x v="3"/>
    <x v="0"/>
  </r>
  <r>
    <x v="71"/>
    <x v="1"/>
    <x v="2"/>
    <x v="12"/>
    <x v="73"/>
    <x v="69"/>
    <x v="1"/>
    <x v="0"/>
    <x v="2"/>
    <x v="3"/>
    <x v="0"/>
  </r>
  <r>
    <x v="15"/>
    <x v="1"/>
    <x v="2"/>
    <x v="6"/>
    <x v="74"/>
    <x v="76"/>
    <x v="0"/>
    <x v="0"/>
    <x v="2"/>
    <x v="3"/>
    <x v="0"/>
  </r>
  <r>
    <x v="15"/>
    <x v="1"/>
    <x v="2"/>
    <x v="6"/>
    <x v="74"/>
    <x v="76"/>
    <x v="0"/>
    <x v="0"/>
    <x v="2"/>
    <x v="3"/>
    <x v="0"/>
  </r>
  <r>
    <x v="77"/>
    <x v="1"/>
    <x v="2"/>
    <x v="16"/>
    <x v="75"/>
    <x v="4"/>
    <x v="1"/>
    <x v="0"/>
    <x v="2"/>
    <x v="3"/>
    <x v="0"/>
  </r>
  <r>
    <x v="13"/>
    <x v="1"/>
    <x v="0"/>
    <x v="21"/>
    <x v="76"/>
    <x v="40"/>
    <x v="3"/>
    <x v="0"/>
    <x v="2"/>
    <x v="3"/>
    <x v="0"/>
  </r>
  <r>
    <x v="84"/>
    <x v="1"/>
    <x v="2"/>
    <x v="1"/>
    <x v="77"/>
    <x v="52"/>
    <x v="1"/>
    <x v="0"/>
    <x v="2"/>
    <x v="4"/>
    <x v="8"/>
  </r>
  <r>
    <x v="84"/>
    <x v="1"/>
    <x v="2"/>
    <x v="1"/>
    <x v="77"/>
    <x v="52"/>
    <x v="1"/>
    <x v="0"/>
    <x v="2"/>
    <x v="4"/>
    <x v="8"/>
  </r>
  <r>
    <x v="60"/>
    <x v="1"/>
    <x v="2"/>
    <x v="24"/>
    <x v="78"/>
    <x v="41"/>
    <x v="1"/>
    <x v="0"/>
    <x v="2"/>
    <x v="4"/>
    <x v="8"/>
  </r>
  <r>
    <x v="73"/>
    <x v="1"/>
    <x v="2"/>
    <x v="2"/>
    <x v="79"/>
    <x v="22"/>
    <x v="1"/>
    <x v="0"/>
    <x v="2"/>
    <x v="4"/>
    <x v="8"/>
  </r>
  <r>
    <x v="61"/>
    <x v="2"/>
    <x v="4"/>
    <x v="13"/>
    <x v="80"/>
    <x v="60"/>
    <x v="1"/>
    <x v="0"/>
    <x v="2"/>
    <x v="5"/>
    <x v="6"/>
  </r>
  <r>
    <x v="61"/>
    <x v="2"/>
    <x v="4"/>
    <x v="13"/>
    <x v="80"/>
    <x v="60"/>
    <x v="1"/>
    <x v="0"/>
    <x v="2"/>
    <x v="5"/>
    <x v="6"/>
  </r>
  <r>
    <x v="51"/>
    <x v="0"/>
    <x v="2"/>
    <x v="21"/>
    <x v="81"/>
    <x v="44"/>
    <x v="2"/>
    <x v="0"/>
    <x v="2"/>
    <x v="5"/>
    <x v="6"/>
  </r>
  <r>
    <x v="44"/>
    <x v="0"/>
    <x v="0"/>
    <x v="14"/>
    <x v="82"/>
    <x v="56"/>
    <x v="1"/>
    <x v="0"/>
    <x v="2"/>
    <x v="6"/>
    <x v="5"/>
  </r>
  <r>
    <x v="62"/>
    <x v="1"/>
    <x v="3"/>
    <x v="9"/>
    <x v="83"/>
    <x v="7"/>
    <x v="4"/>
    <x v="0"/>
    <x v="2"/>
    <x v="6"/>
    <x v="5"/>
  </r>
  <r>
    <x v="74"/>
    <x v="1"/>
    <x v="4"/>
    <x v="11"/>
    <x v="84"/>
    <x v="39"/>
    <x v="1"/>
    <x v="0"/>
    <x v="2"/>
    <x v="7"/>
    <x v="1"/>
  </r>
  <r>
    <x v="69"/>
    <x v="0"/>
    <x v="2"/>
    <x v="11"/>
    <x v="84"/>
    <x v="82"/>
    <x v="1"/>
    <x v="0"/>
    <x v="2"/>
    <x v="7"/>
    <x v="1"/>
  </r>
  <r>
    <x v="74"/>
    <x v="1"/>
    <x v="4"/>
    <x v="11"/>
    <x v="84"/>
    <x v="39"/>
    <x v="1"/>
    <x v="0"/>
    <x v="2"/>
    <x v="7"/>
    <x v="1"/>
  </r>
  <r>
    <x v="46"/>
    <x v="0"/>
    <x v="2"/>
    <x v="11"/>
    <x v="85"/>
    <x v="78"/>
    <x v="1"/>
    <x v="0"/>
    <x v="2"/>
    <x v="7"/>
    <x v="1"/>
  </r>
  <r>
    <x v="59"/>
    <x v="0"/>
    <x v="4"/>
    <x v="23"/>
    <x v="86"/>
    <x v="83"/>
    <x v="1"/>
    <x v="0"/>
    <x v="3"/>
    <x v="1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E3:F9" firstHeaderRow="1" firstDataRow="1" firstDataCol="1" rowPageCount="1" colPageCount="1"/>
  <pivotFields count="11">
    <pivotField dataField="1" showAll="0" compact="0" outline="0"/>
    <pivotField showAll="0" compact="0" outline="0"/>
    <pivotField axis="axisRow" showAll="0" compact="0" outline="0">
      <items count="6">
        <item x="0"/>
        <item x="1"/>
        <item x="2"/>
        <item x="3"/>
        <item x="4"/>
        <item t="default"/>
      </items>
    </pivotField>
    <pivotField showAll="0" compact="0" outline="0"/>
    <pivotField showAll="0" compact="0" outline="0"/>
    <pivotField showAll="0" compact="0" outline="0"/>
    <pivotField showAll="0" compact="0" outline="0"/>
    <pivotField axis="axisPage" showAll="0" compact="0" outline="0">
      <items count="3">
        <item h="1" x="0"/>
        <item x="1"/>
        <item t="default"/>
      </items>
    </pivotField>
    <pivotField showAll="0" compact="0" outline="0"/>
    <pivotField showAll="0" compact="0" outline="0"/>
    <pivotField showAll="0" compact="0" outline="0"/>
  </pivotFields>
  <rowFields count="1">
    <field x="2"/>
  </rowFields>
  <pageFields count="1">
    <pageField fld="7" hier="-1"/>
  </pageFields>
  <dataFields count="1">
    <dataField fld="0" subtotal="count"/>
  </dataFields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B9" firstHeaderRow="1" firstDataRow="1" firstDataCol="1" rowPageCount="1" colPageCount="1"/>
  <pivotFields count="11">
    <pivotField dataField="1" showAll="0" compact="0" outline="0"/>
    <pivotField showAll="0" compact="0" outline="0"/>
    <pivotField axis="axisRow" showAll="0" compact="0" outline="0">
      <items count="6">
        <item x="0"/>
        <item x="1"/>
        <item x="2"/>
        <item x="3"/>
        <item x="4"/>
        <item t="default"/>
      </items>
    </pivotField>
    <pivotField showAll="0" compact="0" outline="0"/>
    <pivotField showAll="0" compact="0" outline="0"/>
    <pivotField showAll="0" compact="0" outline="0"/>
    <pivotField showAll="0" compact="0" outline="0"/>
    <pivotField axis="axisPage" showAll="0" compact="0" outline="0">
      <items count="3">
        <item x="0"/>
        <item h="1" x="1"/>
        <item t="default"/>
      </items>
    </pivotField>
    <pivotField showAll="0" compact="0" outline="0"/>
    <pivotField showAll="0" compact="0" outline="0"/>
    <pivotField showAll="0" compact="0" outline="0"/>
  </pivotFields>
  <rowFields count="1">
    <field x="2"/>
  </rowFields>
  <pageFields count="1">
    <pageField fld="7" hier="-1"/>
  </pageFields>
  <dataFields count="1">
    <dataField fld="0" subtotal="count"/>
  </dataFields>
</pivotTableDefinition>
</file>

<file path=xl/pivotTables/pivotTable3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2:D7" firstHeaderRow="1" firstDataRow="2" firstDataCol="1"/>
  <pivotFields count="11">
    <pivotField dataField="1" showAll="0" compact="0" outline="0"/>
    <pivotField axis="axisCol" showAll="0" compact="0" outline="0">
      <items count="4">
        <item x="0"/>
        <item x="1"/>
        <item h="1" x="2"/>
        <item t="default"/>
      </items>
    </pivotField>
    <pivotField showAll="0" compact="0" outline="0"/>
    <pivotField dataField="1" showAll="0" compact="0" outline="0"/>
    <pivotField showAll="0" compact="0" outline="0"/>
    <pivotField dataField="1" showAll="0" compact="0" outline="0"/>
    <pivotField showAll="0" compact="0" outline="0"/>
    <pivotField showAll="0" compact="0" outline="0"/>
    <pivotField dataField="1" showAll="0" compact="0" outline="0"/>
    <pivotField showAll="0" compact="0" outline="0"/>
    <pivotField showAll="0" compact="0" outline="0"/>
  </pivotFields>
  <rowFields count="1">
    <field x="-2"/>
  </rowFields>
  <colFields count="1">
    <field x="1"/>
  </colFields>
  <dataFields count="4">
    <dataField fld="0" subtotal="count"/>
    <dataField fld="3" subtotal="average"/>
    <dataField fld="5" subtotal="average"/>
    <dataField fld="8" subtotal="average"/>
  </dataFields>
</pivotTableDefinition>
</file>

<file path=xl/pivotTables/pivotTable4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2:C20" firstHeaderRow="1" firstDataRow="1" firstDataCol="2"/>
  <pivotFields count="11">
    <pivotField dataField="1" showAll="0" compact="0" outline="0"/>
    <pivotField showAll="0" compact="0" outline="0"/>
    <pivotField showAll="0" compact="0" outline="0"/>
    <pivotField showAll="0" compact="0" outline="0"/>
    <pivotField showAll="0" compact="0" outline="0"/>
    <pivotField showAll="0" compact="0" outline="0"/>
    <pivotField showAll="0" compact="0" outline="0"/>
    <pivotField showAll="0" compact="0" outline="0"/>
    <pivotField axis="axisRow" showAll="0" compact="0" outline="0">
      <items count="5">
        <item x="0"/>
        <item x="1"/>
        <item x="2"/>
        <item x="3"/>
        <item t="default"/>
      </items>
    </pivotField>
    <pivotField showAll="0" compact="0" outline="0"/>
    <pivotField axis="axisRow" showAll="0" compact="0" outline="0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</pivotFields>
  <rowFields count="2">
    <field x="8"/>
    <field x="10"/>
  </rowFields>
  <dataFields count="1">
    <dataField fld="0" subtotal="count"/>
  </dataFields>
</pivotTableDefinition>
</file>

<file path=xl/pivotTables/pivotTable5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2:C9" firstHeaderRow="1" firstDataRow="2" firstDataCol="1"/>
  <pivotFields count="11">
    <pivotField dataField="1" showAll="0" compact="0" outline="0"/>
    <pivotField showAll="0" compact="0" outline="0"/>
    <pivotField showAll="0" compact="0" outline="0"/>
    <pivotField showAll="0" compact="0" outline="0"/>
    <pivotField showAll="0" compact="0" outline="0"/>
    <pivotField dataField="1" showAll="0" compact="0" outline="0"/>
    <pivotField axis="axisRow" showAll="0" compact="0" outline="0">
      <items count="6">
        <item x="2"/>
        <item x="0"/>
        <item x="1"/>
        <item x="3"/>
        <item x="4"/>
        <item t="default"/>
      </items>
    </pivotField>
    <pivotField showAll="0" compact="0" outline="0"/>
    <pivotField showAll="0" compact="0" outline="0"/>
    <pivotField showAll="0" compact="0" outline="0"/>
    <pivotField showAll="0" compact="0" outline="0"/>
  </pivotFields>
  <rowFields count="1">
    <field x="6"/>
  </rowFields>
  <colFields count="1">
    <field x="-2"/>
  </colFields>
  <dataFields count="2">
    <dataField fld="0" subtotal="count"/>
    <dataField fld="5" subtotal="average"/>
  </dataFields>
</pivotTableDefinition>
</file>

<file path=xl/tables/table1.xml><?xml version="1.0" encoding="utf-8"?>
<table xmlns="http://schemas.openxmlformats.org/spreadsheetml/2006/main" id="1" name="India_staff" displayName="India_staff" ref="B2:L114" headerRowCount="1" totalsRowCount="0" totalsRowShown="0">
  <autoFilter ref="B2:L114"/>
  <tableColumns count="11">
    <tableColumn id="1" name="Name"/>
    <tableColumn id="2" name="Gender"/>
    <tableColumn id="3" name="Department"/>
    <tableColumn id="4" name="Age"/>
    <tableColumn id="5" name="Date Joined"/>
    <tableColumn id="6" name="Salary"/>
    <tableColumn id="7" name="Rating"/>
    <tableColumn id="8" name="Country"/>
    <tableColumn id="9" name="Year"/>
    <tableColumn id="10" name="Month_num"/>
    <tableColumn id="11" name="Month_name"/>
  </tableColumns>
</table>
</file>

<file path=xl/tables/table2.xml><?xml version="1.0" encoding="utf-8"?>
<table xmlns="http://schemas.openxmlformats.org/spreadsheetml/2006/main" id="2" name="nz_staff" displayName="nz_staff" ref="C5:J104" headerRowCount="1" totalsRowCount="0" totalsRowShown="0">
  <autoFilter ref="C5:J104"/>
  <tableColumns count="8">
    <tableColumn id="1" name="Name"/>
    <tableColumn id="2" name="Gender"/>
    <tableColumn id="3" name="Department"/>
    <tableColumn id="4" name="Age"/>
    <tableColumn id="5" name="Date Joined"/>
    <tableColumn id="6" name="Salary"/>
    <tableColumn id="7" name="Rating"/>
    <tableColumn id="8" name="Country"/>
  </tableColumns>
</table>
</file>

<file path=xl/tables/table3.xml><?xml version="1.0" encoding="utf-8"?>
<table xmlns="http://schemas.openxmlformats.org/spreadsheetml/2006/main" id="3" name="staff" displayName="staff" ref="B2:L187" headerRowCount="1" totalsRowCount="1" totalsRowShown="1">
  <autoFilter ref="B2:L187"/>
  <tableColumns count="11">
    <tableColumn id="1" name="Name"/>
    <tableColumn id="2" name="Gender"/>
    <tableColumn id="3" name="Department"/>
    <tableColumn id="4" name="Age"/>
    <tableColumn id="5" name="Date Joined"/>
    <tableColumn id="6" name="Salary"/>
    <tableColumn id="7" name="Rating"/>
    <tableColumn id="8" name="Country"/>
    <tableColumn id="9" name="Tenure"/>
    <tableColumn id="10" name="Bonus"/>
    <tableColumn id="11" name="Rating as number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ivotTable" Target="../pivotTables/pivotTable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4"/>
  <sheetViews>
    <sheetView showFormulas="false" showGridLines="fals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K105" activeCellId="0" sqref="K105"/>
    </sheetView>
  </sheetViews>
  <sheetFormatPr defaultRowHeight="15" zeroHeight="false" outlineLevelRow="0" outlineLevelCol="0"/>
  <cols>
    <col collapsed="false" customWidth="true" hidden="false" outlineLevel="0" max="1" min="1" style="0" width="1.71"/>
    <col collapsed="false" customWidth="true" hidden="false" outlineLevel="0" max="2" min="2" style="0" width="3.71"/>
    <col collapsed="false" customWidth="true" hidden="false" outlineLevel="0" max="3" min="3" style="0" width="21.29"/>
    <col collapsed="false" customWidth="true" hidden="false" outlineLevel="0" max="4" min="4" style="0" width="10"/>
    <col collapsed="false" customWidth="true" hidden="false" outlineLevel="0" max="5" min="5" style="0" width="12.71"/>
    <col collapsed="false" customWidth="true" hidden="false" outlineLevel="0" max="6" min="6" style="0" width="8.54"/>
    <col collapsed="false" customWidth="true" hidden="false" outlineLevel="0" max="7" min="7" style="0" width="16.29"/>
    <col collapsed="false" customWidth="true" hidden="false" outlineLevel="0" max="8" min="8" style="1" width="15.42"/>
    <col collapsed="false" customWidth="true" hidden="false" outlineLevel="0" max="9" min="9" style="0" width="14.15"/>
    <col collapsed="false" customWidth="true" hidden="false" outlineLevel="0" max="1025" min="10" style="0" width="8.54"/>
  </cols>
  <sheetData>
    <row r="1" s="3" customFormat="true" ht="52.5" hidden="false" customHeight="true" outlineLevel="0" collapsed="false">
      <c r="A1" s="2"/>
      <c r="C1" s="4" t="s">
        <v>0</v>
      </c>
      <c r="H1" s="5"/>
    </row>
    <row r="5" customFormat="false" ht="15" hidden="false" customHeight="false" outlineLevel="0" collapsed="false">
      <c r="C5" s="6" t="s">
        <v>1</v>
      </c>
      <c r="D5" s="6" t="s">
        <v>2</v>
      </c>
      <c r="E5" s="6" t="s">
        <v>3</v>
      </c>
      <c r="F5" s="6" t="s">
        <v>4</v>
      </c>
      <c r="G5" s="7" t="s">
        <v>5</v>
      </c>
      <c r="H5" s="8" t="s">
        <v>6</v>
      </c>
      <c r="I5" s="6" t="s">
        <v>7</v>
      </c>
      <c r="J5" s="6" t="s">
        <v>8</v>
      </c>
    </row>
    <row r="6" customFormat="false" ht="15" hidden="false" customHeight="false" outlineLevel="0" collapsed="false">
      <c r="C6" s="0" t="s">
        <v>9</v>
      </c>
      <c r="D6" s="0" t="s">
        <v>10</v>
      </c>
      <c r="E6" s="0" t="s">
        <v>11</v>
      </c>
      <c r="F6" s="0" t="n">
        <v>22</v>
      </c>
      <c r="G6" s="9" t="n">
        <v>44446</v>
      </c>
      <c r="H6" s="10" t="n">
        <v>112780</v>
      </c>
      <c r="I6" s="0" t="s">
        <v>12</v>
      </c>
      <c r="J6" s="0" t="str">
        <f aca="false">"NZ"</f>
        <v>NZ</v>
      </c>
    </row>
    <row r="7" customFormat="false" ht="15" hidden="false" customHeight="false" outlineLevel="0" collapsed="false">
      <c r="C7" s="0" t="s">
        <v>13</v>
      </c>
      <c r="D7" s="0" t="s">
        <v>10</v>
      </c>
      <c r="E7" s="0" t="s">
        <v>14</v>
      </c>
      <c r="F7" s="0" t="n">
        <v>46</v>
      </c>
      <c r="G7" s="9" t="n">
        <v>44758</v>
      </c>
      <c r="H7" s="10" t="n">
        <v>70610</v>
      </c>
      <c r="I7" s="0" t="s">
        <v>15</v>
      </c>
      <c r="J7" s="0" t="str">
        <f aca="false">"NZ"</f>
        <v>NZ</v>
      </c>
    </row>
    <row r="8" customFormat="false" ht="15" hidden="false" customHeight="false" outlineLevel="0" collapsed="false">
      <c r="C8" s="0" t="s">
        <v>16</v>
      </c>
      <c r="D8" s="0" t="s">
        <v>17</v>
      </c>
      <c r="E8" s="0" t="s">
        <v>11</v>
      </c>
      <c r="F8" s="0" t="n">
        <v>28</v>
      </c>
      <c r="G8" s="9" t="n">
        <v>44357</v>
      </c>
      <c r="H8" s="10" t="n">
        <v>53240</v>
      </c>
      <c r="I8" s="0" t="s">
        <v>15</v>
      </c>
      <c r="J8" s="0" t="str">
        <f aca="false">"NZ"</f>
        <v>NZ</v>
      </c>
    </row>
    <row r="9" customFormat="false" ht="15" hidden="false" customHeight="false" outlineLevel="0" collapsed="false">
      <c r="C9" s="0" t="s">
        <v>18</v>
      </c>
      <c r="E9" s="0" t="s">
        <v>19</v>
      </c>
      <c r="F9" s="0" t="n">
        <v>37</v>
      </c>
      <c r="G9" s="9" t="n">
        <v>44146</v>
      </c>
      <c r="H9" s="10" t="n">
        <v>115440</v>
      </c>
      <c r="I9" s="0" t="s">
        <v>20</v>
      </c>
      <c r="J9" s="0" t="str">
        <f aca="false">"NZ"</f>
        <v>NZ</v>
      </c>
    </row>
    <row r="10" customFormat="false" ht="15" hidden="false" customHeight="false" outlineLevel="0" collapsed="false">
      <c r="C10" s="0" t="s">
        <v>21</v>
      </c>
      <c r="D10" s="0" t="s">
        <v>10</v>
      </c>
      <c r="E10" s="0" t="s">
        <v>11</v>
      </c>
      <c r="F10" s="0" t="n">
        <v>32</v>
      </c>
      <c r="G10" s="9" t="n">
        <v>44465</v>
      </c>
      <c r="H10" s="10" t="n">
        <v>53540</v>
      </c>
      <c r="I10" s="0" t="s">
        <v>15</v>
      </c>
      <c r="J10" s="0" t="str">
        <f aca="false">"NZ"</f>
        <v>NZ</v>
      </c>
    </row>
    <row r="11" customFormat="false" ht="15" hidden="false" customHeight="false" outlineLevel="0" collapsed="false">
      <c r="C11" s="0" t="s">
        <v>22</v>
      </c>
      <c r="D11" s="0" t="s">
        <v>17</v>
      </c>
      <c r="E11" s="0" t="s">
        <v>14</v>
      </c>
      <c r="F11" s="0" t="n">
        <v>30</v>
      </c>
      <c r="G11" s="9" t="n">
        <v>44861</v>
      </c>
      <c r="H11" s="10" t="n">
        <v>112570</v>
      </c>
      <c r="I11" s="0" t="s">
        <v>15</v>
      </c>
      <c r="J11" s="0" t="str">
        <f aca="false">"NZ"</f>
        <v>NZ</v>
      </c>
    </row>
    <row r="12" customFormat="false" ht="15" hidden="false" customHeight="false" outlineLevel="0" collapsed="false">
      <c r="C12" s="0" t="s">
        <v>23</v>
      </c>
      <c r="D12" s="0" t="s">
        <v>10</v>
      </c>
      <c r="E12" s="0" t="s">
        <v>14</v>
      </c>
      <c r="F12" s="0" t="n">
        <v>33</v>
      </c>
      <c r="G12" s="9" t="n">
        <v>44701</v>
      </c>
      <c r="H12" s="10" t="n">
        <v>48530</v>
      </c>
      <c r="I12" s="0" t="s">
        <v>12</v>
      </c>
      <c r="J12" s="0" t="str">
        <f aca="false">"NZ"</f>
        <v>NZ</v>
      </c>
    </row>
    <row r="13" customFormat="false" ht="15" hidden="false" customHeight="false" outlineLevel="0" collapsed="false">
      <c r="C13" s="0" t="s">
        <v>24</v>
      </c>
      <c r="D13" s="0" t="s">
        <v>17</v>
      </c>
      <c r="E13" s="0" t="s">
        <v>25</v>
      </c>
      <c r="F13" s="0" t="n">
        <v>24</v>
      </c>
      <c r="G13" s="9" t="n">
        <v>44148</v>
      </c>
      <c r="H13" s="10" t="n">
        <v>62780</v>
      </c>
      <c r="I13" s="0" t="s">
        <v>15</v>
      </c>
      <c r="J13" s="0" t="str">
        <f aca="false">"NZ"</f>
        <v>NZ</v>
      </c>
    </row>
    <row r="14" customFormat="false" ht="15" hidden="false" customHeight="false" outlineLevel="0" collapsed="false">
      <c r="C14" s="0" t="s">
        <v>26</v>
      </c>
      <c r="D14" s="0" t="s">
        <v>10</v>
      </c>
      <c r="E14" s="0" t="s">
        <v>25</v>
      </c>
      <c r="F14" s="0" t="n">
        <v>33</v>
      </c>
      <c r="G14" s="9" t="n">
        <v>44509</v>
      </c>
      <c r="H14" s="10" t="n">
        <v>53870</v>
      </c>
      <c r="I14" s="0" t="s">
        <v>15</v>
      </c>
      <c r="J14" s="0" t="str">
        <f aca="false">"NZ"</f>
        <v>NZ</v>
      </c>
    </row>
    <row r="15" customFormat="false" ht="15" hidden="false" customHeight="false" outlineLevel="0" collapsed="false">
      <c r="C15" s="0" t="s">
        <v>27</v>
      </c>
      <c r="D15" s="0" t="s">
        <v>17</v>
      </c>
      <c r="E15" s="0" t="s">
        <v>28</v>
      </c>
      <c r="F15" s="0" t="n">
        <v>27</v>
      </c>
      <c r="G15" s="9" t="n">
        <v>44122</v>
      </c>
      <c r="H15" s="10" t="n">
        <v>119110</v>
      </c>
      <c r="I15" s="0" t="s">
        <v>15</v>
      </c>
      <c r="J15" s="0" t="str">
        <f aca="false">"NZ"</f>
        <v>NZ</v>
      </c>
    </row>
    <row r="16" customFormat="false" ht="15" hidden="false" customHeight="false" outlineLevel="0" collapsed="false">
      <c r="C16" s="0" t="s">
        <v>29</v>
      </c>
      <c r="D16" s="0" t="s">
        <v>10</v>
      </c>
      <c r="E16" s="0" t="s">
        <v>25</v>
      </c>
      <c r="F16" s="0" t="n">
        <v>29</v>
      </c>
      <c r="G16" s="9" t="n">
        <v>44180</v>
      </c>
      <c r="H16" s="10" t="n">
        <v>112110</v>
      </c>
      <c r="I16" s="0" t="s">
        <v>20</v>
      </c>
      <c r="J16" s="0" t="str">
        <f aca="false">"NZ"</f>
        <v>NZ</v>
      </c>
    </row>
    <row r="17" customFormat="false" ht="15" hidden="false" customHeight="false" outlineLevel="0" collapsed="false">
      <c r="C17" s="0" t="s">
        <v>30</v>
      </c>
      <c r="D17" s="0" t="s">
        <v>10</v>
      </c>
      <c r="E17" s="0" t="s">
        <v>11</v>
      </c>
      <c r="F17" s="0" t="n">
        <v>25</v>
      </c>
      <c r="G17" s="9" t="n">
        <v>44383</v>
      </c>
      <c r="H17" s="10" t="n">
        <v>65700</v>
      </c>
      <c r="I17" s="0" t="s">
        <v>15</v>
      </c>
      <c r="J17" s="0" t="str">
        <f aca="false">"NZ"</f>
        <v>NZ</v>
      </c>
    </row>
    <row r="18" customFormat="false" ht="15" hidden="false" customHeight="false" outlineLevel="0" collapsed="false">
      <c r="C18" s="0" t="s">
        <v>31</v>
      </c>
      <c r="D18" s="0" t="s">
        <v>10</v>
      </c>
      <c r="E18" s="0" t="s">
        <v>25</v>
      </c>
      <c r="F18" s="0" t="n">
        <v>37</v>
      </c>
      <c r="G18" s="9" t="n">
        <v>44701</v>
      </c>
      <c r="H18" s="10" t="n">
        <v>69070</v>
      </c>
      <c r="I18" s="0" t="s">
        <v>15</v>
      </c>
      <c r="J18" s="0" t="str">
        <f aca="false">"NZ"</f>
        <v>NZ</v>
      </c>
    </row>
    <row r="19" customFormat="false" ht="15" hidden="false" customHeight="false" outlineLevel="0" collapsed="false">
      <c r="C19" s="0" t="s">
        <v>32</v>
      </c>
      <c r="D19" s="0" t="s">
        <v>10</v>
      </c>
      <c r="E19" s="0" t="s">
        <v>25</v>
      </c>
      <c r="F19" s="0" t="n">
        <v>20</v>
      </c>
      <c r="G19" s="9" t="n">
        <v>44459</v>
      </c>
      <c r="H19" s="10" t="n">
        <v>107700</v>
      </c>
      <c r="I19" s="0" t="s">
        <v>15</v>
      </c>
      <c r="J19" s="0" t="str">
        <f aca="false">"NZ"</f>
        <v>NZ</v>
      </c>
    </row>
    <row r="20" customFormat="false" ht="15" hidden="false" customHeight="false" outlineLevel="0" collapsed="false">
      <c r="C20" s="0" t="s">
        <v>33</v>
      </c>
      <c r="D20" s="0" t="s">
        <v>17</v>
      </c>
      <c r="E20" s="0" t="s">
        <v>25</v>
      </c>
      <c r="F20" s="0" t="n">
        <v>32</v>
      </c>
      <c r="G20" s="9" t="n">
        <v>44354</v>
      </c>
      <c r="H20" s="10" t="n">
        <v>43840</v>
      </c>
      <c r="I20" s="0" t="s">
        <v>12</v>
      </c>
      <c r="J20" s="0" t="str">
        <f aca="false">"NZ"</f>
        <v>NZ</v>
      </c>
    </row>
    <row r="21" customFormat="false" ht="15" hidden="false" customHeight="false" outlineLevel="0" collapsed="false">
      <c r="C21" s="0" t="s">
        <v>34</v>
      </c>
      <c r="D21" s="0" t="s">
        <v>10</v>
      </c>
      <c r="E21" s="0" t="s">
        <v>14</v>
      </c>
      <c r="F21" s="0" t="n">
        <v>40</v>
      </c>
      <c r="G21" s="9" t="n">
        <v>44263</v>
      </c>
      <c r="H21" s="10" t="n">
        <v>99750</v>
      </c>
      <c r="I21" s="0" t="s">
        <v>15</v>
      </c>
      <c r="J21" s="0" t="str">
        <f aca="false">"NZ"</f>
        <v>NZ</v>
      </c>
    </row>
    <row r="22" customFormat="false" ht="15" hidden="false" customHeight="false" outlineLevel="0" collapsed="false">
      <c r="C22" s="0" t="s">
        <v>35</v>
      </c>
      <c r="D22" s="0" t="s">
        <v>10</v>
      </c>
      <c r="E22" s="0" t="s">
        <v>14</v>
      </c>
      <c r="F22" s="0" t="n">
        <v>21</v>
      </c>
      <c r="G22" s="9" t="n">
        <v>44104</v>
      </c>
      <c r="H22" s="10" t="n">
        <v>37920</v>
      </c>
      <c r="I22" s="0" t="s">
        <v>15</v>
      </c>
      <c r="J22" s="0" t="str">
        <f aca="false">"NZ"</f>
        <v>NZ</v>
      </c>
    </row>
    <row r="23" customFormat="false" ht="15" hidden="false" customHeight="false" outlineLevel="0" collapsed="false">
      <c r="C23" s="0" t="s">
        <v>36</v>
      </c>
      <c r="D23" s="0" t="s">
        <v>10</v>
      </c>
      <c r="E23" s="0" t="s">
        <v>14</v>
      </c>
      <c r="F23" s="0" t="n">
        <v>21</v>
      </c>
      <c r="G23" s="9" t="n">
        <v>44762</v>
      </c>
      <c r="H23" s="10" t="n">
        <v>57090</v>
      </c>
      <c r="I23" s="0" t="s">
        <v>15</v>
      </c>
      <c r="J23" s="0" t="str">
        <f aca="false">"NZ"</f>
        <v>NZ</v>
      </c>
    </row>
    <row r="24" customFormat="false" ht="15" hidden="false" customHeight="false" outlineLevel="0" collapsed="false">
      <c r="C24" s="0" t="s">
        <v>37</v>
      </c>
      <c r="D24" s="0" t="s">
        <v>17</v>
      </c>
      <c r="E24" s="0" t="s">
        <v>25</v>
      </c>
      <c r="F24" s="0" t="n">
        <v>31</v>
      </c>
      <c r="G24" s="9" t="n">
        <v>44145</v>
      </c>
      <c r="H24" s="10" t="n">
        <v>41980</v>
      </c>
      <c r="I24" s="0" t="s">
        <v>15</v>
      </c>
      <c r="J24" s="0" t="str">
        <f aca="false">"NZ"</f>
        <v>NZ</v>
      </c>
    </row>
    <row r="25" customFormat="false" ht="15" hidden="false" customHeight="false" outlineLevel="0" collapsed="false">
      <c r="C25" s="0" t="s">
        <v>38</v>
      </c>
      <c r="D25" s="0" t="s">
        <v>10</v>
      </c>
      <c r="E25" s="0" t="s">
        <v>28</v>
      </c>
      <c r="F25" s="0" t="n">
        <v>21</v>
      </c>
      <c r="G25" s="9" t="n">
        <v>44242</v>
      </c>
      <c r="H25" s="10" t="n">
        <v>75880</v>
      </c>
      <c r="I25" s="0" t="s">
        <v>15</v>
      </c>
      <c r="J25" s="0" t="str">
        <f aca="false">"NZ"</f>
        <v>NZ</v>
      </c>
    </row>
    <row r="26" customFormat="false" ht="15" hidden="false" customHeight="false" outlineLevel="0" collapsed="false">
      <c r="C26" s="0" t="s">
        <v>39</v>
      </c>
      <c r="D26" s="0" t="s">
        <v>17</v>
      </c>
      <c r="E26" s="0" t="s">
        <v>19</v>
      </c>
      <c r="F26" s="0" t="n">
        <v>34</v>
      </c>
      <c r="G26" s="9" t="n">
        <v>44653</v>
      </c>
      <c r="H26" s="10" t="n">
        <v>58940</v>
      </c>
      <c r="I26" s="0" t="s">
        <v>15</v>
      </c>
      <c r="J26" s="0" t="str">
        <f aca="false">"NZ"</f>
        <v>NZ</v>
      </c>
    </row>
    <row r="27" customFormat="false" ht="15" hidden="false" customHeight="false" outlineLevel="0" collapsed="false">
      <c r="C27" s="0" t="s">
        <v>40</v>
      </c>
      <c r="D27" s="0" t="s">
        <v>17</v>
      </c>
      <c r="E27" s="0" t="s">
        <v>19</v>
      </c>
      <c r="F27" s="0" t="n">
        <v>30</v>
      </c>
      <c r="G27" s="9" t="n">
        <v>44389</v>
      </c>
      <c r="H27" s="10" t="n">
        <v>67910</v>
      </c>
      <c r="I27" s="0" t="s">
        <v>20</v>
      </c>
      <c r="J27" s="0" t="str">
        <f aca="false">"NZ"</f>
        <v>NZ</v>
      </c>
    </row>
    <row r="28" customFormat="false" ht="15" hidden="false" customHeight="false" outlineLevel="0" collapsed="false">
      <c r="C28" s="0" t="s">
        <v>41</v>
      </c>
      <c r="D28" s="0" t="s">
        <v>17</v>
      </c>
      <c r="E28" s="0" t="s">
        <v>25</v>
      </c>
      <c r="F28" s="0" t="n">
        <v>31</v>
      </c>
      <c r="G28" s="9" t="n">
        <v>44663</v>
      </c>
      <c r="H28" s="10" t="n">
        <v>58100</v>
      </c>
      <c r="I28" s="0" t="s">
        <v>15</v>
      </c>
      <c r="J28" s="0" t="str">
        <f aca="false">"NZ"</f>
        <v>NZ</v>
      </c>
    </row>
    <row r="29" customFormat="false" ht="15" hidden="false" customHeight="false" outlineLevel="0" collapsed="false">
      <c r="C29" s="0" t="s">
        <v>42</v>
      </c>
      <c r="D29" s="0" t="s">
        <v>10</v>
      </c>
      <c r="E29" s="0" t="s">
        <v>19</v>
      </c>
      <c r="F29" s="0" t="n">
        <v>27</v>
      </c>
      <c r="G29" s="9" t="n">
        <v>44567</v>
      </c>
      <c r="H29" s="10" t="n">
        <v>48980</v>
      </c>
      <c r="I29" s="0" t="s">
        <v>15</v>
      </c>
      <c r="J29" s="0" t="str">
        <f aca="false">"NZ"</f>
        <v>NZ</v>
      </c>
    </row>
    <row r="30" customFormat="false" ht="15" hidden="false" customHeight="false" outlineLevel="0" collapsed="false">
      <c r="C30" s="0" t="s">
        <v>43</v>
      </c>
      <c r="E30" s="0" t="s">
        <v>19</v>
      </c>
      <c r="F30" s="0" t="n">
        <v>30</v>
      </c>
      <c r="G30" s="9" t="n">
        <v>44597</v>
      </c>
      <c r="H30" s="10" t="n">
        <v>64000</v>
      </c>
      <c r="I30" s="0" t="s">
        <v>15</v>
      </c>
      <c r="J30" s="0" t="str">
        <f aca="false">"NZ"</f>
        <v>NZ</v>
      </c>
    </row>
    <row r="31" customFormat="false" ht="15" hidden="false" customHeight="false" outlineLevel="0" collapsed="false">
      <c r="C31" s="0" t="s">
        <v>44</v>
      </c>
      <c r="D31" s="0" t="s">
        <v>17</v>
      </c>
      <c r="E31" s="0" t="s">
        <v>14</v>
      </c>
      <c r="F31" s="0" t="n">
        <v>42</v>
      </c>
      <c r="G31" s="9" t="n">
        <v>44779</v>
      </c>
      <c r="H31" s="10" t="n">
        <v>75000</v>
      </c>
      <c r="I31" s="0" t="s">
        <v>45</v>
      </c>
      <c r="J31" s="0" t="str">
        <f aca="false">"NZ"</f>
        <v>NZ</v>
      </c>
    </row>
    <row r="32" customFormat="false" ht="15" hidden="false" customHeight="false" outlineLevel="0" collapsed="false">
      <c r="C32" s="0" t="s">
        <v>46</v>
      </c>
      <c r="D32" s="0" t="s">
        <v>17</v>
      </c>
      <c r="E32" s="0" t="s">
        <v>25</v>
      </c>
      <c r="F32" s="0" t="n">
        <v>40</v>
      </c>
      <c r="G32" s="9" t="n">
        <v>44337</v>
      </c>
      <c r="H32" s="10" t="n">
        <v>87620</v>
      </c>
      <c r="I32" s="0" t="s">
        <v>15</v>
      </c>
      <c r="J32" s="0" t="str">
        <f aca="false">"NZ"</f>
        <v>NZ</v>
      </c>
    </row>
    <row r="33" customFormat="false" ht="15" hidden="false" customHeight="false" outlineLevel="0" collapsed="false">
      <c r="C33" s="0" t="s">
        <v>47</v>
      </c>
      <c r="D33" s="0" t="s">
        <v>17</v>
      </c>
      <c r="E33" s="0" t="s">
        <v>25</v>
      </c>
      <c r="F33" s="0" t="n">
        <v>29</v>
      </c>
      <c r="G33" s="9" t="n">
        <v>44023</v>
      </c>
      <c r="H33" s="10" t="n">
        <v>34980</v>
      </c>
      <c r="I33" s="0" t="s">
        <v>15</v>
      </c>
      <c r="J33" s="0" t="str">
        <f aca="false">"NZ"</f>
        <v>NZ</v>
      </c>
    </row>
    <row r="34" customFormat="false" ht="15" hidden="false" customHeight="false" outlineLevel="0" collapsed="false">
      <c r="C34" s="0" t="s">
        <v>48</v>
      </c>
      <c r="D34" s="0" t="s">
        <v>17</v>
      </c>
      <c r="E34" s="0" t="s">
        <v>19</v>
      </c>
      <c r="F34" s="0" t="n">
        <v>28</v>
      </c>
      <c r="G34" s="9" t="n">
        <v>44185</v>
      </c>
      <c r="H34" s="10" t="n">
        <v>75970</v>
      </c>
      <c r="I34" s="0" t="s">
        <v>15</v>
      </c>
      <c r="J34" s="0" t="str">
        <f aca="false">"NZ"</f>
        <v>NZ</v>
      </c>
    </row>
    <row r="35" customFormat="false" ht="15" hidden="false" customHeight="false" outlineLevel="0" collapsed="false">
      <c r="C35" s="0" t="s">
        <v>49</v>
      </c>
      <c r="D35" s="0" t="s">
        <v>17</v>
      </c>
      <c r="E35" s="0" t="s">
        <v>19</v>
      </c>
      <c r="F35" s="0" t="n">
        <v>34</v>
      </c>
      <c r="G35" s="9" t="n">
        <v>44612</v>
      </c>
      <c r="H35" s="10" t="n">
        <v>60130</v>
      </c>
      <c r="I35" s="0" t="s">
        <v>15</v>
      </c>
      <c r="J35" s="0" t="str">
        <f aca="false">"NZ"</f>
        <v>NZ</v>
      </c>
    </row>
    <row r="36" customFormat="false" ht="15" hidden="false" customHeight="false" outlineLevel="0" collapsed="false">
      <c r="C36" s="0" t="s">
        <v>50</v>
      </c>
      <c r="D36" s="0" t="s">
        <v>17</v>
      </c>
      <c r="E36" s="0" t="s">
        <v>25</v>
      </c>
      <c r="F36" s="0" t="n">
        <v>33</v>
      </c>
      <c r="G36" s="9" t="n">
        <v>44374</v>
      </c>
      <c r="H36" s="10" t="n">
        <v>75480</v>
      </c>
      <c r="I36" s="0" t="s">
        <v>51</v>
      </c>
      <c r="J36" s="0" t="str">
        <f aca="false">"NZ"</f>
        <v>NZ</v>
      </c>
    </row>
    <row r="37" customFormat="false" ht="15" hidden="false" customHeight="false" outlineLevel="0" collapsed="false">
      <c r="C37" s="0" t="s">
        <v>52</v>
      </c>
      <c r="D37" s="0" t="s">
        <v>10</v>
      </c>
      <c r="E37" s="0" t="s">
        <v>14</v>
      </c>
      <c r="F37" s="0" t="n">
        <v>33</v>
      </c>
      <c r="G37" s="9" t="n">
        <v>44164</v>
      </c>
      <c r="H37" s="10" t="n">
        <v>115920</v>
      </c>
      <c r="I37" s="0" t="s">
        <v>15</v>
      </c>
      <c r="J37" s="0" t="str">
        <f aca="false">"NZ"</f>
        <v>NZ</v>
      </c>
    </row>
    <row r="38" customFormat="false" ht="15" hidden="false" customHeight="false" outlineLevel="0" collapsed="false">
      <c r="C38" s="0" t="s">
        <v>53</v>
      </c>
      <c r="D38" s="0" t="s">
        <v>17</v>
      </c>
      <c r="E38" s="0" t="s">
        <v>11</v>
      </c>
      <c r="F38" s="0" t="n">
        <v>36</v>
      </c>
      <c r="G38" s="9" t="n">
        <v>44494</v>
      </c>
      <c r="H38" s="10" t="n">
        <v>78540</v>
      </c>
      <c r="I38" s="0" t="s">
        <v>15</v>
      </c>
      <c r="J38" s="0" t="str">
        <f aca="false">"NZ"</f>
        <v>NZ</v>
      </c>
    </row>
    <row r="39" customFormat="false" ht="15" hidden="false" customHeight="false" outlineLevel="0" collapsed="false">
      <c r="C39" s="0" t="s">
        <v>54</v>
      </c>
      <c r="D39" s="0" t="s">
        <v>10</v>
      </c>
      <c r="E39" s="0" t="s">
        <v>14</v>
      </c>
      <c r="F39" s="0" t="n">
        <v>25</v>
      </c>
      <c r="G39" s="9" t="n">
        <v>44726</v>
      </c>
      <c r="H39" s="10" t="n">
        <v>109190</v>
      </c>
      <c r="I39" s="0" t="s">
        <v>12</v>
      </c>
      <c r="J39" s="0" t="str">
        <f aca="false">"NZ"</f>
        <v>NZ</v>
      </c>
    </row>
    <row r="40" customFormat="false" ht="15" hidden="false" customHeight="false" outlineLevel="0" collapsed="false">
      <c r="C40" s="0" t="s">
        <v>55</v>
      </c>
      <c r="D40" s="0" t="s">
        <v>17</v>
      </c>
      <c r="E40" s="0" t="s">
        <v>11</v>
      </c>
      <c r="F40" s="0" t="n">
        <v>34</v>
      </c>
      <c r="G40" s="9" t="n">
        <v>44721</v>
      </c>
      <c r="H40" s="10" t="n">
        <v>49630</v>
      </c>
      <c r="I40" s="0" t="s">
        <v>20</v>
      </c>
      <c r="J40" s="0" t="str">
        <f aca="false">"NZ"</f>
        <v>NZ</v>
      </c>
    </row>
    <row r="41" customFormat="false" ht="15" hidden="false" customHeight="false" outlineLevel="0" collapsed="false">
      <c r="C41" s="0" t="s">
        <v>56</v>
      </c>
      <c r="D41" s="0" t="s">
        <v>17</v>
      </c>
      <c r="E41" s="0" t="s">
        <v>14</v>
      </c>
      <c r="F41" s="0" t="n">
        <v>28</v>
      </c>
      <c r="G41" s="9" t="n">
        <v>44630</v>
      </c>
      <c r="H41" s="10" t="n">
        <v>99970</v>
      </c>
      <c r="I41" s="0" t="s">
        <v>15</v>
      </c>
      <c r="J41" s="0" t="str">
        <f aca="false">"NZ"</f>
        <v>NZ</v>
      </c>
    </row>
    <row r="42" customFormat="false" ht="15" hidden="false" customHeight="false" outlineLevel="0" collapsed="false">
      <c r="C42" s="0" t="s">
        <v>57</v>
      </c>
      <c r="D42" s="0" t="s">
        <v>17</v>
      </c>
      <c r="E42" s="0" t="s">
        <v>25</v>
      </c>
      <c r="F42" s="0" t="n">
        <v>33</v>
      </c>
      <c r="G42" s="9" t="n">
        <v>44190</v>
      </c>
      <c r="H42" s="10" t="n">
        <v>96140</v>
      </c>
      <c r="I42" s="0" t="s">
        <v>15</v>
      </c>
      <c r="J42" s="0" t="str">
        <f aca="false">"NZ"</f>
        <v>NZ</v>
      </c>
    </row>
    <row r="43" customFormat="false" ht="15" hidden="false" customHeight="false" outlineLevel="0" collapsed="false">
      <c r="C43" s="0" t="s">
        <v>58</v>
      </c>
      <c r="D43" s="0" t="s">
        <v>10</v>
      </c>
      <c r="E43" s="0" t="s">
        <v>14</v>
      </c>
      <c r="F43" s="0" t="n">
        <v>31</v>
      </c>
      <c r="G43" s="9" t="n">
        <v>44724</v>
      </c>
      <c r="H43" s="10" t="n">
        <v>103550</v>
      </c>
      <c r="I43" s="0" t="s">
        <v>15</v>
      </c>
      <c r="J43" s="0" t="str">
        <f aca="false">"NZ"</f>
        <v>NZ</v>
      </c>
    </row>
    <row r="44" customFormat="false" ht="15" hidden="false" customHeight="false" outlineLevel="0" collapsed="false">
      <c r="C44" s="0" t="s">
        <v>59</v>
      </c>
      <c r="D44" s="0" t="s">
        <v>10</v>
      </c>
      <c r="E44" s="0" t="s">
        <v>25</v>
      </c>
      <c r="F44" s="0" t="n">
        <v>31</v>
      </c>
      <c r="G44" s="9" t="n">
        <v>44511</v>
      </c>
      <c r="H44" s="10" t="n">
        <v>48950</v>
      </c>
      <c r="I44" s="0" t="s">
        <v>15</v>
      </c>
      <c r="J44" s="0" t="str">
        <f aca="false">"NZ"</f>
        <v>NZ</v>
      </c>
    </row>
    <row r="45" customFormat="false" ht="15" hidden="false" customHeight="false" outlineLevel="0" collapsed="false">
      <c r="C45" s="0" t="s">
        <v>60</v>
      </c>
      <c r="D45" s="0" t="s">
        <v>10</v>
      </c>
      <c r="E45" s="0" t="s">
        <v>19</v>
      </c>
      <c r="F45" s="0" t="n">
        <v>24</v>
      </c>
      <c r="G45" s="9" t="n">
        <v>44436</v>
      </c>
      <c r="H45" s="10" t="n">
        <v>52610</v>
      </c>
      <c r="I45" s="0" t="s">
        <v>20</v>
      </c>
      <c r="J45" s="0" t="str">
        <f aca="false">"NZ"</f>
        <v>NZ</v>
      </c>
    </row>
    <row r="46" customFormat="false" ht="15" hidden="false" customHeight="false" outlineLevel="0" collapsed="false">
      <c r="C46" s="0" t="s">
        <v>61</v>
      </c>
      <c r="D46" s="0" t="s">
        <v>17</v>
      </c>
      <c r="E46" s="0" t="s">
        <v>14</v>
      </c>
      <c r="F46" s="0" t="n">
        <v>36</v>
      </c>
      <c r="G46" s="9" t="n">
        <v>44529</v>
      </c>
      <c r="H46" s="10" t="n">
        <v>78390</v>
      </c>
      <c r="I46" s="0" t="s">
        <v>15</v>
      </c>
      <c r="J46" s="0" t="str">
        <f aca="false">"NZ"</f>
        <v>NZ</v>
      </c>
    </row>
    <row r="47" customFormat="false" ht="15" hidden="false" customHeight="false" outlineLevel="0" collapsed="false">
      <c r="C47" s="0" t="s">
        <v>62</v>
      </c>
      <c r="D47" s="0" t="s">
        <v>17</v>
      </c>
      <c r="E47" s="0" t="s">
        <v>19</v>
      </c>
      <c r="F47" s="0" t="n">
        <v>33</v>
      </c>
      <c r="G47" s="9" t="n">
        <v>44809</v>
      </c>
      <c r="H47" s="10" t="n">
        <v>86570</v>
      </c>
      <c r="I47" s="0" t="s">
        <v>15</v>
      </c>
      <c r="J47" s="0" t="str">
        <f aca="false">"NZ"</f>
        <v>NZ</v>
      </c>
    </row>
    <row r="48" customFormat="false" ht="15" hidden="false" customHeight="false" outlineLevel="0" collapsed="false">
      <c r="C48" s="0" t="s">
        <v>63</v>
      </c>
      <c r="D48" s="0" t="s">
        <v>17</v>
      </c>
      <c r="E48" s="0" t="s">
        <v>25</v>
      </c>
      <c r="F48" s="0" t="n">
        <v>27</v>
      </c>
      <c r="G48" s="9" t="n">
        <v>44686</v>
      </c>
      <c r="H48" s="10" t="n">
        <v>83750</v>
      </c>
      <c r="I48" s="0" t="s">
        <v>15</v>
      </c>
      <c r="J48" s="0" t="str">
        <f aca="false">"NZ"</f>
        <v>NZ</v>
      </c>
    </row>
    <row r="49" customFormat="false" ht="15" hidden="false" customHeight="false" outlineLevel="0" collapsed="false">
      <c r="C49" s="0" t="s">
        <v>64</v>
      </c>
      <c r="D49" s="0" t="s">
        <v>17</v>
      </c>
      <c r="E49" s="0" t="s">
        <v>19</v>
      </c>
      <c r="F49" s="0" t="n">
        <v>34</v>
      </c>
      <c r="G49" s="9" t="n">
        <v>44445</v>
      </c>
      <c r="H49" s="10" t="n">
        <v>92450</v>
      </c>
      <c r="I49" s="0" t="s">
        <v>15</v>
      </c>
      <c r="J49" s="0" t="str">
        <f aca="false">"NZ"</f>
        <v>NZ</v>
      </c>
    </row>
    <row r="50" customFormat="false" ht="15" hidden="false" customHeight="false" outlineLevel="0" collapsed="false">
      <c r="C50" s="0" t="s">
        <v>65</v>
      </c>
      <c r="D50" s="0" t="s">
        <v>10</v>
      </c>
      <c r="E50" s="0" t="s">
        <v>25</v>
      </c>
      <c r="F50" s="0" t="n">
        <v>20</v>
      </c>
      <c r="G50" s="9" t="n">
        <v>44183</v>
      </c>
      <c r="H50" s="10" t="n">
        <v>112650</v>
      </c>
      <c r="I50" s="0" t="s">
        <v>15</v>
      </c>
      <c r="J50" s="0" t="str">
        <f aca="false">"NZ"</f>
        <v>NZ</v>
      </c>
    </row>
    <row r="51" customFormat="false" ht="15" hidden="false" customHeight="false" outlineLevel="0" collapsed="false">
      <c r="C51" s="0" t="s">
        <v>66</v>
      </c>
      <c r="D51" s="0" t="s">
        <v>10</v>
      </c>
      <c r="E51" s="0" t="s">
        <v>14</v>
      </c>
      <c r="F51" s="0" t="n">
        <v>20</v>
      </c>
      <c r="G51" s="9" t="n">
        <v>44744</v>
      </c>
      <c r="H51" s="10" t="n">
        <v>79570</v>
      </c>
      <c r="I51" s="0" t="s">
        <v>15</v>
      </c>
      <c r="J51" s="0" t="str">
        <f aca="false">"NZ"</f>
        <v>NZ</v>
      </c>
    </row>
    <row r="52" customFormat="false" ht="15" hidden="false" customHeight="false" outlineLevel="0" collapsed="false">
      <c r="C52" s="0" t="s">
        <v>67</v>
      </c>
      <c r="D52" s="0" t="s">
        <v>17</v>
      </c>
      <c r="E52" s="0" t="s">
        <v>11</v>
      </c>
      <c r="F52" s="0" t="n">
        <v>20</v>
      </c>
      <c r="G52" s="9" t="n">
        <v>44537</v>
      </c>
      <c r="H52" s="10" t="n">
        <v>68900</v>
      </c>
      <c r="I52" s="0" t="s">
        <v>20</v>
      </c>
      <c r="J52" s="0" t="str">
        <f aca="false">"NZ"</f>
        <v>NZ</v>
      </c>
    </row>
    <row r="53" customFormat="false" ht="15" hidden="false" customHeight="false" outlineLevel="0" collapsed="false">
      <c r="C53" s="0" t="s">
        <v>68</v>
      </c>
      <c r="D53" s="0" t="s">
        <v>17</v>
      </c>
      <c r="E53" s="0" t="s">
        <v>25</v>
      </c>
      <c r="F53" s="0" t="n">
        <v>25</v>
      </c>
      <c r="G53" s="9" t="n">
        <v>44694</v>
      </c>
      <c r="H53" s="10" t="n">
        <v>80700</v>
      </c>
      <c r="I53" s="0" t="s">
        <v>12</v>
      </c>
      <c r="J53" s="0" t="str">
        <f aca="false">"NZ"</f>
        <v>NZ</v>
      </c>
    </row>
    <row r="54" customFormat="false" ht="15" hidden="false" customHeight="false" outlineLevel="0" collapsed="false">
      <c r="C54" s="0" t="s">
        <v>69</v>
      </c>
      <c r="D54" s="0" t="s">
        <v>10</v>
      </c>
      <c r="E54" s="0" t="s">
        <v>14</v>
      </c>
      <c r="F54" s="0" t="n">
        <v>19</v>
      </c>
      <c r="G54" s="9" t="n">
        <v>44277</v>
      </c>
      <c r="H54" s="10" t="n">
        <v>58960</v>
      </c>
      <c r="I54" s="0" t="s">
        <v>15</v>
      </c>
      <c r="J54" s="0" t="str">
        <f aca="false">"NZ"</f>
        <v>NZ</v>
      </c>
    </row>
    <row r="55" customFormat="false" ht="15" hidden="false" customHeight="false" outlineLevel="0" collapsed="false">
      <c r="C55" s="0" t="s">
        <v>70</v>
      </c>
      <c r="D55" s="0" t="s">
        <v>10</v>
      </c>
      <c r="E55" s="0" t="s">
        <v>25</v>
      </c>
      <c r="F55" s="0" t="n">
        <v>36</v>
      </c>
      <c r="G55" s="9" t="n">
        <v>44019</v>
      </c>
      <c r="H55" s="10" t="n">
        <v>118840</v>
      </c>
      <c r="I55" s="0" t="s">
        <v>15</v>
      </c>
      <c r="J55" s="0" t="str">
        <f aca="false">"NZ"</f>
        <v>NZ</v>
      </c>
    </row>
    <row r="56" customFormat="false" ht="15" hidden="false" customHeight="false" outlineLevel="0" collapsed="false">
      <c r="C56" s="0" t="s">
        <v>71</v>
      </c>
      <c r="D56" s="0" t="s">
        <v>10</v>
      </c>
      <c r="E56" s="0" t="s">
        <v>19</v>
      </c>
      <c r="F56" s="0" t="n">
        <v>28</v>
      </c>
      <c r="G56" s="9" t="n">
        <v>44041</v>
      </c>
      <c r="H56" s="10" t="n">
        <v>48170</v>
      </c>
      <c r="I56" s="0" t="s">
        <v>12</v>
      </c>
      <c r="J56" s="0" t="str">
        <f aca="false">"NZ"</f>
        <v>NZ</v>
      </c>
    </row>
    <row r="57" customFormat="false" ht="15" hidden="false" customHeight="false" outlineLevel="0" collapsed="false">
      <c r="C57" s="0" t="s">
        <v>72</v>
      </c>
      <c r="D57" s="0" t="s">
        <v>17</v>
      </c>
      <c r="E57" s="0" t="s">
        <v>28</v>
      </c>
      <c r="F57" s="0" t="n">
        <v>32</v>
      </c>
      <c r="G57" s="9" t="n">
        <v>44400</v>
      </c>
      <c r="H57" s="10" t="n">
        <v>45510</v>
      </c>
      <c r="I57" s="0" t="s">
        <v>15</v>
      </c>
      <c r="J57" s="0" t="str">
        <f aca="false">"NZ"</f>
        <v>NZ</v>
      </c>
    </row>
    <row r="58" customFormat="false" ht="15" hidden="false" customHeight="false" outlineLevel="0" collapsed="false">
      <c r="C58" s="0" t="s">
        <v>65</v>
      </c>
      <c r="D58" s="0" t="s">
        <v>10</v>
      </c>
      <c r="E58" s="0" t="s">
        <v>14</v>
      </c>
      <c r="F58" s="0" t="n">
        <v>34</v>
      </c>
      <c r="G58" s="9" t="n">
        <v>44703</v>
      </c>
      <c r="H58" s="10" t="n">
        <v>112650</v>
      </c>
      <c r="I58" s="0" t="s">
        <v>15</v>
      </c>
      <c r="J58" s="0" t="str">
        <f aca="false">"NZ"</f>
        <v>NZ</v>
      </c>
    </row>
    <row r="59" customFormat="false" ht="15" hidden="false" customHeight="false" outlineLevel="0" collapsed="false">
      <c r="C59" s="0" t="s">
        <v>73</v>
      </c>
      <c r="D59" s="0" t="s">
        <v>17</v>
      </c>
      <c r="E59" s="0" t="s">
        <v>14</v>
      </c>
      <c r="F59" s="0" t="n">
        <v>36</v>
      </c>
      <c r="G59" s="9" t="n">
        <v>44085</v>
      </c>
      <c r="H59" s="10" t="n">
        <v>114890</v>
      </c>
      <c r="I59" s="0" t="s">
        <v>15</v>
      </c>
      <c r="J59" s="0" t="str">
        <f aca="false">"NZ"</f>
        <v>NZ</v>
      </c>
    </row>
    <row r="60" customFormat="false" ht="15" hidden="false" customHeight="false" outlineLevel="0" collapsed="false">
      <c r="C60" s="0" t="s">
        <v>74</v>
      </c>
      <c r="D60" s="0" t="s">
        <v>10</v>
      </c>
      <c r="E60" s="0" t="s">
        <v>25</v>
      </c>
      <c r="F60" s="0" t="n">
        <v>30</v>
      </c>
      <c r="G60" s="9" t="n">
        <v>44850</v>
      </c>
      <c r="H60" s="10" t="n">
        <v>69710</v>
      </c>
      <c r="I60" s="0" t="s">
        <v>15</v>
      </c>
      <c r="J60" s="0" t="str">
        <f aca="false">"NZ"</f>
        <v>NZ</v>
      </c>
    </row>
    <row r="61" customFormat="false" ht="15" hidden="false" customHeight="false" outlineLevel="0" collapsed="false">
      <c r="C61" s="0" t="s">
        <v>75</v>
      </c>
      <c r="D61" s="0" t="s">
        <v>10</v>
      </c>
      <c r="E61" s="0" t="s">
        <v>19</v>
      </c>
      <c r="F61" s="0" t="n">
        <v>36</v>
      </c>
      <c r="G61" s="9" t="n">
        <v>44333</v>
      </c>
      <c r="H61" s="10" t="n">
        <v>71380</v>
      </c>
      <c r="I61" s="0" t="s">
        <v>15</v>
      </c>
      <c r="J61" s="0" t="str">
        <f aca="false">"NZ"</f>
        <v>NZ</v>
      </c>
    </row>
    <row r="62" customFormat="false" ht="15" hidden="false" customHeight="false" outlineLevel="0" collapsed="false">
      <c r="C62" s="0" t="s">
        <v>76</v>
      </c>
      <c r="D62" s="0" t="s">
        <v>17</v>
      </c>
      <c r="E62" s="0" t="s">
        <v>11</v>
      </c>
      <c r="F62" s="0" t="n">
        <v>38</v>
      </c>
      <c r="G62" s="9" t="n">
        <v>44377</v>
      </c>
      <c r="H62" s="10" t="n">
        <v>109160</v>
      </c>
      <c r="I62" s="0" t="s">
        <v>45</v>
      </c>
      <c r="J62" s="0" t="str">
        <f aca="false">"NZ"</f>
        <v>NZ</v>
      </c>
    </row>
    <row r="63" customFormat="false" ht="15" hidden="false" customHeight="false" outlineLevel="0" collapsed="false">
      <c r="C63" s="0" t="s">
        <v>77</v>
      </c>
      <c r="D63" s="0" t="s">
        <v>10</v>
      </c>
      <c r="E63" s="0" t="s">
        <v>14</v>
      </c>
      <c r="F63" s="0" t="n">
        <v>27</v>
      </c>
      <c r="G63" s="9" t="n">
        <v>44609</v>
      </c>
      <c r="H63" s="10" t="n">
        <v>113280</v>
      </c>
      <c r="I63" s="0" t="s">
        <v>51</v>
      </c>
      <c r="J63" s="0" t="str">
        <f aca="false">"NZ"</f>
        <v>NZ</v>
      </c>
    </row>
    <row r="64" customFormat="false" ht="15" hidden="false" customHeight="false" outlineLevel="0" collapsed="false">
      <c r="C64" s="0" t="s">
        <v>78</v>
      </c>
      <c r="D64" s="0" t="s">
        <v>10</v>
      </c>
      <c r="E64" s="0" t="s">
        <v>25</v>
      </c>
      <c r="F64" s="0" t="n">
        <v>30</v>
      </c>
      <c r="G64" s="9" t="n">
        <v>44273</v>
      </c>
      <c r="H64" s="10" t="n">
        <v>69120</v>
      </c>
      <c r="I64" s="0" t="s">
        <v>15</v>
      </c>
      <c r="J64" s="0" t="str">
        <f aca="false">"NZ"</f>
        <v>NZ</v>
      </c>
    </row>
    <row r="65" customFormat="false" ht="15" hidden="false" customHeight="false" outlineLevel="0" collapsed="false">
      <c r="C65" s="0" t="s">
        <v>79</v>
      </c>
      <c r="D65" s="0" t="s">
        <v>17</v>
      </c>
      <c r="E65" s="0" t="s">
        <v>28</v>
      </c>
      <c r="F65" s="0" t="n">
        <v>37</v>
      </c>
      <c r="G65" s="9" t="n">
        <v>44451</v>
      </c>
      <c r="H65" s="10" t="n">
        <v>118100</v>
      </c>
      <c r="I65" s="0" t="s">
        <v>15</v>
      </c>
      <c r="J65" s="0" t="str">
        <f aca="false">"NZ"</f>
        <v>NZ</v>
      </c>
    </row>
    <row r="66" customFormat="false" ht="15" hidden="false" customHeight="false" outlineLevel="0" collapsed="false">
      <c r="C66" s="0" t="s">
        <v>80</v>
      </c>
      <c r="D66" s="0" t="s">
        <v>17</v>
      </c>
      <c r="E66" s="0" t="s">
        <v>14</v>
      </c>
      <c r="F66" s="0" t="n">
        <v>22</v>
      </c>
      <c r="G66" s="9" t="n">
        <v>44450</v>
      </c>
      <c r="H66" s="10" t="n">
        <v>76900</v>
      </c>
      <c r="I66" s="0" t="s">
        <v>12</v>
      </c>
      <c r="J66" s="0" t="str">
        <f aca="false">"NZ"</f>
        <v>NZ</v>
      </c>
    </row>
    <row r="67" customFormat="false" ht="15" hidden="false" customHeight="false" outlineLevel="0" collapsed="false">
      <c r="C67" s="0" t="s">
        <v>81</v>
      </c>
      <c r="D67" s="0" t="s">
        <v>17</v>
      </c>
      <c r="E67" s="0" t="s">
        <v>25</v>
      </c>
      <c r="F67" s="0" t="n">
        <v>43</v>
      </c>
      <c r="G67" s="9" t="n">
        <v>45045</v>
      </c>
      <c r="H67" s="10" t="n">
        <v>114870</v>
      </c>
      <c r="I67" s="0" t="s">
        <v>15</v>
      </c>
      <c r="J67" s="0" t="str">
        <f aca="false">"NZ"</f>
        <v>NZ</v>
      </c>
    </row>
    <row r="68" customFormat="false" ht="15" hidden="false" customHeight="false" outlineLevel="0" collapsed="false">
      <c r="C68" s="0" t="s">
        <v>82</v>
      </c>
      <c r="E68" s="0" t="s">
        <v>25</v>
      </c>
      <c r="F68" s="0" t="n">
        <v>32</v>
      </c>
      <c r="G68" s="9" t="n">
        <v>44774</v>
      </c>
      <c r="H68" s="10" t="n">
        <v>91310</v>
      </c>
      <c r="I68" s="0" t="s">
        <v>15</v>
      </c>
      <c r="J68" s="0" t="str">
        <f aca="false">"NZ"</f>
        <v>NZ</v>
      </c>
    </row>
    <row r="69" customFormat="false" ht="15" hidden="false" customHeight="false" outlineLevel="0" collapsed="false">
      <c r="C69" s="0" t="s">
        <v>83</v>
      </c>
      <c r="D69" s="0" t="s">
        <v>17</v>
      </c>
      <c r="E69" s="0" t="s">
        <v>14</v>
      </c>
      <c r="F69" s="0" t="n">
        <v>28</v>
      </c>
      <c r="G69" s="9" t="n">
        <v>44486</v>
      </c>
      <c r="H69" s="10" t="n">
        <v>104770</v>
      </c>
      <c r="I69" s="0" t="s">
        <v>15</v>
      </c>
      <c r="J69" s="0" t="str">
        <f aca="false">"NZ"</f>
        <v>NZ</v>
      </c>
    </row>
    <row r="70" customFormat="false" ht="15" hidden="false" customHeight="false" outlineLevel="0" collapsed="false">
      <c r="C70" s="0" t="s">
        <v>84</v>
      </c>
      <c r="D70" s="0" t="s">
        <v>10</v>
      </c>
      <c r="E70" s="0" t="s">
        <v>11</v>
      </c>
      <c r="F70" s="0" t="n">
        <v>27</v>
      </c>
      <c r="G70" s="9" t="n">
        <v>44134</v>
      </c>
      <c r="H70" s="10" t="n">
        <v>54970</v>
      </c>
      <c r="I70" s="0" t="s">
        <v>15</v>
      </c>
      <c r="J70" s="0" t="str">
        <f aca="false">"NZ"</f>
        <v>NZ</v>
      </c>
    </row>
    <row r="71" customFormat="false" ht="15" hidden="false" customHeight="false" outlineLevel="0" collapsed="false">
      <c r="C71" s="0" t="s">
        <v>85</v>
      </c>
      <c r="E71" s="0" t="s">
        <v>25</v>
      </c>
      <c r="F71" s="0" t="n">
        <v>26</v>
      </c>
      <c r="G71" s="9" t="n">
        <v>44271</v>
      </c>
      <c r="H71" s="10" t="n">
        <v>90700</v>
      </c>
      <c r="I71" s="0" t="s">
        <v>12</v>
      </c>
      <c r="J71" s="0" t="str">
        <f aca="false">"NZ"</f>
        <v>NZ</v>
      </c>
    </row>
    <row r="72" customFormat="false" ht="15" hidden="false" customHeight="false" outlineLevel="0" collapsed="false">
      <c r="C72" s="0" t="s">
        <v>86</v>
      </c>
      <c r="D72" s="0" t="s">
        <v>17</v>
      </c>
      <c r="E72" s="0" t="s">
        <v>11</v>
      </c>
      <c r="F72" s="0" t="n">
        <v>38</v>
      </c>
      <c r="G72" s="9" t="n">
        <v>44329</v>
      </c>
      <c r="H72" s="10" t="n">
        <v>56870</v>
      </c>
      <c r="I72" s="0" t="s">
        <v>12</v>
      </c>
      <c r="J72" s="0" t="str">
        <f aca="false">"NZ"</f>
        <v>NZ</v>
      </c>
    </row>
    <row r="73" customFormat="false" ht="15" hidden="false" customHeight="false" outlineLevel="0" collapsed="false">
      <c r="C73" s="0" t="s">
        <v>87</v>
      </c>
      <c r="D73" s="0" t="s">
        <v>17</v>
      </c>
      <c r="E73" s="0" t="s">
        <v>11</v>
      </c>
      <c r="F73" s="0" t="n">
        <v>25</v>
      </c>
      <c r="G73" s="9" t="n">
        <v>44205</v>
      </c>
      <c r="H73" s="10" t="n">
        <v>92700</v>
      </c>
      <c r="I73" s="0" t="s">
        <v>15</v>
      </c>
      <c r="J73" s="0" t="str">
        <f aca="false">"NZ"</f>
        <v>NZ</v>
      </c>
    </row>
    <row r="74" customFormat="false" ht="15" hidden="false" customHeight="false" outlineLevel="0" collapsed="false">
      <c r="C74" s="0" t="s">
        <v>88</v>
      </c>
      <c r="D74" s="0" t="s">
        <v>17</v>
      </c>
      <c r="E74" s="0" t="s">
        <v>19</v>
      </c>
      <c r="F74" s="0" t="n">
        <v>21</v>
      </c>
      <c r="G74" s="9" t="n">
        <v>44317</v>
      </c>
      <c r="H74" s="10" t="n">
        <v>65920</v>
      </c>
      <c r="I74" s="0" t="s">
        <v>15</v>
      </c>
      <c r="J74" s="0" t="str">
        <f aca="false">"NZ"</f>
        <v>NZ</v>
      </c>
    </row>
    <row r="75" customFormat="false" ht="15" hidden="false" customHeight="false" outlineLevel="0" collapsed="false">
      <c r="C75" s="0" t="s">
        <v>89</v>
      </c>
      <c r="D75" s="0" t="s">
        <v>10</v>
      </c>
      <c r="E75" s="0" t="s">
        <v>14</v>
      </c>
      <c r="F75" s="0" t="n">
        <v>26</v>
      </c>
      <c r="G75" s="9" t="n">
        <v>44225</v>
      </c>
      <c r="H75" s="10" t="n">
        <v>47360</v>
      </c>
      <c r="I75" s="0" t="s">
        <v>15</v>
      </c>
      <c r="J75" s="0" t="str">
        <f aca="false">"NZ"</f>
        <v>NZ</v>
      </c>
    </row>
    <row r="76" customFormat="false" ht="15" hidden="false" customHeight="false" outlineLevel="0" collapsed="false">
      <c r="C76" s="0" t="s">
        <v>90</v>
      </c>
      <c r="D76" s="0" t="s">
        <v>10</v>
      </c>
      <c r="E76" s="0" t="s">
        <v>14</v>
      </c>
      <c r="F76" s="0" t="n">
        <v>30</v>
      </c>
      <c r="G76" s="9" t="n">
        <v>44666</v>
      </c>
      <c r="H76" s="10" t="n">
        <v>60570</v>
      </c>
      <c r="I76" s="0" t="s">
        <v>15</v>
      </c>
      <c r="J76" s="0" t="str">
        <f aca="false">"NZ"</f>
        <v>NZ</v>
      </c>
    </row>
    <row r="77" customFormat="false" ht="15" hidden="false" customHeight="false" outlineLevel="0" collapsed="false">
      <c r="C77" s="0" t="s">
        <v>91</v>
      </c>
      <c r="D77" s="0" t="s">
        <v>17</v>
      </c>
      <c r="E77" s="0" t="s">
        <v>14</v>
      </c>
      <c r="F77" s="0" t="n">
        <v>28</v>
      </c>
      <c r="G77" s="9" t="n">
        <v>44649</v>
      </c>
      <c r="H77" s="10" t="n">
        <v>104120</v>
      </c>
      <c r="I77" s="0" t="s">
        <v>15</v>
      </c>
      <c r="J77" s="0" t="str">
        <f aca="false">"NZ"</f>
        <v>NZ</v>
      </c>
    </row>
    <row r="78" customFormat="false" ht="15" hidden="false" customHeight="false" outlineLevel="0" collapsed="false">
      <c r="C78" s="0" t="s">
        <v>92</v>
      </c>
      <c r="D78" s="0" t="s">
        <v>10</v>
      </c>
      <c r="E78" s="0" t="s">
        <v>25</v>
      </c>
      <c r="F78" s="0" t="n">
        <v>37</v>
      </c>
      <c r="G78" s="9" t="n">
        <v>44338</v>
      </c>
      <c r="H78" s="10" t="n">
        <v>88050</v>
      </c>
      <c r="I78" s="0" t="s">
        <v>20</v>
      </c>
      <c r="J78" s="0" t="str">
        <f aca="false">"NZ"</f>
        <v>NZ</v>
      </c>
    </row>
    <row r="79" customFormat="false" ht="15" hidden="false" customHeight="false" outlineLevel="0" collapsed="false">
      <c r="C79" s="0" t="s">
        <v>93</v>
      </c>
      <c r="D79" s="0" t="s">
        <v>10</v>
      </c>
      <c r="E79" s="0" t="s">
        <v>25</v>
      </c>
      <c r="F79" s="0" t="n">
        <v>24</v>
      </c>
      <c r="G79" s="9" t="n">
        <v>44686</v>
      </c>
      <c r="H79" s="10" t="n">
        <v>100420</v>
      </c>
      <c r="I79" s="0" t="s">
        <v>15</v>
      </c>
      <c r="J79" s="0" t="str">
        <f aca="false">"NZ"</f>
        <v>NZ</v>
      </c>
    </row>
    <row r="80" customFormat="false" ht="15" hidden="false" customHeight="false" outlineLevel="0" collapsed="false">
      <c r="C80" s="0" t="s">
        <v>94</v>
      </c>
      <c r="D80" s="0" t="s">
        <v>17</v>
      </c>
      <c r="E80" s="0" t="s">
        <v>14</v>
      </c>
      <c r="F80" s="0" t="n">
        <v>30</v>
      </c>
      <c r="G80" s="9" t="n">
        <v>44850</v>
      </c>
      <c r="H80" s="10" t="n">
        <v>114180</v>
      </c>
      <c r="I80" s="0" t="s">
        <v>15</v>
      </c>
      <c r="J80" s="0" t="str">
        <f aca="false">"NZ"</f>
        <v>NZ</v>
      </c>
    </row>
    <row r="81" customFormat="false" ht="15" hidden="false" customHeight="false" outlineLevel="0" collapsed="false">
      <c r="C81" s="0" t="s">
        <v>95</v>
      </c>
      <c r="D81" s="0" t="s">
        <v>17</v>
      </c>
      <c r="E81" s="0" t="s">
        <v>25</v>
      </c>
      <c r="F81" s="0" t="n">
        <v>21</v>
      </c>
      <c r="G81" s="9" t="n">
        <v>44678</v>
      </c>
      <c r="H81" s="10" t="n">
        <v>33920</v>
      </c>
      <c r="I81" s="0" t="s">
        <v>15</v>
      </c>
      <c r="J81" s="0" t="str">
        <f aca="false">"NZ"</f>
        <v>NZ</v>
      </c>
    </row>
    <row r="82" customFormat="false" ht="15" hidden="false" customHeight="false" outlineLevel="0" collapsed="false">
      <c r="C82" s="0" t="s">
        <v>96</v>
      </c>
      <c r="D82" s="0" t="s">
        <v>10</v>
      </c>
      <c r="E82" s="0" t="s">
        <v>14</v>
      </c>
      <c r="F82" s="0" t="n">
        <v>23</v>
      </c>
      <c r="G82" s="9" t="n">
        <v>44440</v>
      </c>
      <c r="H82" s="10" t="n">
        <v>106460</v>
      </c>
      <c r="I82" s="0" t="s">
        <v>15</v>
      </c>
      <c r="J82" s="0" t="str">
        <f aca="false">"NZ"</f>
        <v>NZ</v>
      </c>
    </row>
    <row r="83" customFormat="false" ht="15" hidden="false" customHeight="false" outlineLevel="0" collapsed="false">
      <c r="C83" s="0" t="s">
        <v>97</v>
      </c>
      <c r="D83" s="0" t="s">
        <v>10</v>
      </c>
      <c r="E83" s="0" t="s">
        <v>14</v>
      </c>
      <c r="F83" s="0" t="n">
        <v>35</v>
      </c>
      <c r="G83" s="9" t="n">
        <v>44727</v>
      </c>
      <c r="H83" s="10" t="n">
        <v>40400</v>
      </c>
      <c r="I83" s="0" t="s">
        <v>15</v>
      </c>
      <c r="J83" s="0" t="str">
        <f aca="false">"NZ"</f>
        <v>NZ</v>
      </c>
    </row>
    <row r="84" customFormat="false" ht="15" hidden="false" customHeight="false" outlineLevel="0" collapsed="false">
      <c r="C84" s="0" t="s">
        <v>98</v>
      </c>
      <c r="D84" s="0" t="s">
        <v>10</v>
      </c>
      <c r="E84" s="0" t="s">
        <v>19</v>
      </c>
      <c r="F84" s="0" t="n">
        <v>27</v>
      </c>
      <c r="G84" s="9" t="n">
        <v>44236</v>
      </c>
      <c r="H84" s="10" t="n">
        <v>91650</v>
      </c>
      <c r="I84" s="0" t="s">
        <v>12</v>
      </c>
      <c r="J84" s="0" t="str">
        <f aca="false">"NZ"</f>
        <v>NZ</v>
      </c>
    </row>
    <row r="85" customFormat="false" ht="15" hidden="false" customHeight="false" outlineLevel="0" collapsed="false">
      <c r="C85" s="0" t="s">
        <v>99</v>
      </c>
      <c r="D85" s="0" t="s">
        <v>10</v>
      </c>
      <c r="E85" s="0" t="s">
        <v>11</v>
      </c>
      <c r="F85" s="0" t="n">
        <v>43</v>
      </c>
      <c r="G85" s="9" t="n">
        <v>44620</v>
      </c>
      <c r="H85" s="10" t="n">
        <v>36040</v>
      </c>
      <c r="I85" s="0" t="s">
        <v>15</v>
      </c>
      <c r="J85" s="0" t="str">
        <f aca="false">"NZ"</f>
        <v>NZ</v>
      </c>
    </row>
    <row r="86" customFormat="false" ht="15" hidden="false" customHeight="false" outlineLevel="0" collapsed="false">
      <c r="C86" s="0" t="s">
        <v>100</v>
      </c>
      <c r="D86" s="0" t="s">
        <v>17</v>
      </c>
      <c r="E86" s="0" t="s">
        <v>25</v>
      </c>
      <c r="F86" s="0" t="n">
        <v>40</v>
      </c>
      <c r="G86" s="9" t="n">
        <v>44381</v>
      </c>
      <c r="H86" s="10" t="n">
        <v>104410</v>
      </c>
      <c r="I86" s="0" t="s">
        <v>15</v>
      </c>
      <c r="J86" s="0" t="str">
        <f aca="false">"NZ"</f>
        <v>NZ</v>
      </c>
    </row>
    <row r="87" customFormat="false" ht="15" hidden="false" customHeight="false" outlineLevel="0" collapsed="false">
      <c r="C87" s="0" t="s">
        <v>101</v>
      </c>
      <c r="D87" s="0" t="s">
        <v>10</v>
      </c>
      <c r="E87" s="0" t="s">
        <v>19</v>
      </c>
      <c r="F87" s="0" t="n">
        <v>30</v>
      </c>
      <c r="G87" s="9" t="n">
        <v>44606</v>
      </c>
      <c r="H87" s="10" t="n">
        <v>96800</v>
      </c>
      <c r="I87" s="0" t="s">
        <v>15</v>
      </c>
      <c r="J87" s="0" t="str">
        <f aca="false">"NZ"</f>
        <v>NZ</v>
      </c>
    </row>
    <row r="88" customFormat="false" ht="15" hidden="false" customHeight="false" outlineLevel="0" collapsed="false">
      <c r="C88" s="0" t="s">
        <v>102</v>
      </c>
      <c r="D88" s="0" t="s">
        <v>17</v>
      </c>
      <c r="E88" s="0" t="s">
        <v>19</v>
      </c>
      <c r="F88" s="0" t="n">
        <v>34</v>
      </c>
      <c r="G88" s="9" t="n">
        <v>44459</v>
      </c>
      <c r="H88" s="10" t="n">
        <v>85000</v>
      </c>
      <c r="I88" s="0" t="s">
        <v>15</v>
      </c>
      <c r="J88" s="0" t="str">
        <f aca="false">"NZ"</f>
        <v>NZ</v>
      </c>
    </row>
    <row r="89" customFormat="false" ht="15" hidden="false" customHeight="false" outlineLevel="0" collapsed="false">
      <c r="C89" s="0" t="s">
        <v>103</v>
      </c>
      <c r="D89" s="0" t="s">
        <v>10</v>
      </c>
      <c r="E89" s="0" t="s">
        <v>11</v>
      </c>
      <c r="F89" s="0" t="n">
        <v>28</v>
      </c>
      <c r="G89" s="9" t="n">
        <v>44820</v>
      </c>
      <c r="H89" s="10" t="n">
        <v>43510</v>
      </c>
      <c r="I89" s="0" t="s">
        <v>51</v>
      </c>
      <c r="J89" s="0" t="str">
        <f aca="false">"NZ"</f>
        <v>NZ</v>
      </c>
    </row>
    <row r="90" customFormat="false" ht="15" hidden="false" customHeight="false" outlineLevel="0" collapsed="false">
      <c r="C90" s="0" t="s">
        <v>104</v>
      </c>
      <c r="D90" s="0" t="s">
        <v>10</v>
      </c>
      <c r="E90" s="0" t="s">
        <v>19</v>
      </c>
      <c r="F90" s="0" t="n">
        <v>33</v>
      </c>
      <c r="G90" s="9" t="n">
        <v>44243</v>
      </c>
      <c r="H90" s="10" t="n">
        <v>59430</v>
      </c>
      <c r="I90" s="0" t="s">
        <v>15</v>
      </c>
      <c r="J90" s="0" t="str">
        <f aca="false">"NZ"</f>
        <v>NZ</v>
      </c>
    </row>
    <row r="91" customFormat="false" ht="15" hidden="false" customHeight="false" outlineLevel="0" collapsed="false">
      <c r="C91" s="0" t="s">
        <v>105</v>
      </c>
      <c r="D91" s="0" t="s">
        <v>17</v>
      </c>
      <c r="E91" s="0" t="s">
        <v>19</v>
      </c>
      <c r="F91" s="0" t="n">
        <v>33</v>
      </c>
      <c r="G91" s="9" t="n">
        <v>44067</v>
      </c>
      <c r="H91" s="10" t="n">
        <v>65360</v>
      </c>
      <c r="I91" s="0" t="s">
        <v>15</v>
      </c>
      <c r="J91" s="0" t="str">
        <f aca="false">"NZ"</f>
        <v>NZ</v>
      </c>
    </row>
    <row r="92" customFormat="false" ht="15" hidden="false" customHeight="false" outlineLevel="0" collapsed="false">
      <c r="C92" s="0" t="s">
        <v>106</v>
      </c>
      <c r="D92" s="0" t="s">
        <v>17</v>
      </c>
      <c r="E92" s="0" t="s">
        <v>14</v>
      </c>
      <c r="F92" s="0" t="n">
        <v>32</v>
      </c>
      <c r="G92" s="9" t="n">
        <v>44611</v>
      </c>
      <c r="H92" s="10" t="n">
        <v>41570</v>
      </c>
      <c r="I92" s="0" t="s">
        <v>15</v>
      </c>
      <c r="J92" s="0" t="str">
        <f aca="false">"NZ"</f>
        <v>NZ</v>
      </c>
    </row>
    <row r="93" customFormat="false" ht="15" hidden="false" customHeight="false" outlineLevel="0" collapsed="false">
      <c r="C93" s="0" t="s">
        <v>107</v>
      </c>
      <c r="D93" s="0" t="s">
        <v>17</v>
      </c>
      <c r="E93" s="0" t="s">
        <v>25</v>
      </c>
      <c r="F93" s="0" t="n">
        <v>33</v>
      </c>
      <c r="G93" s="9" t="n">
        <v>44312</v>
      </c>
      <c r="H93" s="10" t="n">
        <v>75280</v>
      </c>
      <c r="I93" s="0" t="s">
        <v>15</v>
      </c>
      <c r="J93" s="0" t="str">
        <f aca="false">"NZ"</f>
        <v>NZ</v>
      </c>
    </row>
    <row r="94" customFormat="false" ht="15" hidden="false" customHeight="false" outlineLevel="0" collapsed="false">
      <c r="C94" s="0" t="s">
        <v>108</v>
      </c>
      <c r="D94" s="0" t="s">
        <v>10</v>
      </c>
      <c r="E94" s="0" t="s">
        <v>11</v>
      </c>
      <c r="F94" s="0" t="n">
        <v>33</v>
      </c>
      <c r="G94" s="9" t="n">
        <v>44385</v>
      </c>
      <c r="H94" s="10" t="n">
        <v>74550</v>
      </c>
      <c r="I94" s="0" t="s">
        <v>15</v>
      </c>
      <c r="J94" s="0" t="str">
        <f aca="false">"NZ"</f>
        <v>NZ</v>
      </c>
    </row>
    <row r="95" customFormat="false" ht="15" hidden="false" customHeight="false" outlineLevel="0" collapsed="false">
      <c r="C95" s="0" t="s">
        <v>109</v>
      </c>
      <c r="D95" s="0" t="s">
        <v>10</v>
      </c>
      <c r="E95" s="0" t="s">
        <v>14</v>
      </c>
      <c r="F95" s="0" t="n">
        <v>30</v>
      </c>
      <c r="G95" s="9" t="n">
        <v>44701</v>
      </c>
      <c r="H95" s="10" t="n">
        <v>67950</v>
      </c>
      <c r="I95" s="0" t="s">
        <v>15</v>
      </c>
      <c r="J95" s="0" t="str">
        <f aca="false">"NZ"</f>
        <v>NZ</v>
      </c>
    </row>
    <row r="96" customFormat="false" ht="15" hidden="false" customHeight="false" outlineLevel="0" collapsed="false">
      <c r="C96" s="0" t="s">
        <v>110</v>
      </c>
      <c r="D96" s="0" t="s">
        <v>10</v>
      </c>
      <c r="E96" s="0" t="s">
        <v>19</v>
      </c>
      <c r="F96" s="0" t="n">
        <v>42</v>
      </c>
      <c r="G96" s="9" t="n">
        <v>44731</v>
      </c>
      <c r="H96" s="10" t="n">
        <v>70270</v>
      </c>
      <c r="I96" s="0" t="s">
        <v>20</v>
      </c>
      <c r="J96" s="0" t="str">
        <f aca="false">"NZ"</f>
        <v>NZ</v>
      </c>
    </row>
    <row r="97" customFormat="false" ht="15" hidden="false" customHeight="false" outlineLevel="0" collapsed="false">
      <c r="C97" s="0" t="s">
        <v>111</v>
      </c>
      <c r="D97" s="0" t="s">
        <v>10</v>
      </c>
      <c r="E97" s="0" t="s">
        <v>14</v>
      </c>
      <c r="F97" s="0" t="n">
        <v>26</v>
      </c>
      <c r="G97" s="9" t="n">
        <v>44411</v>
      </c>
      <c r="H97" s="10" t="n">
        <v>53540</v>
      </c>
      <c r="I97" s="0" t="s">
        <v>15</v>
      </c>
      <c r="J97" s="0" t="str">
        <f aca="false">"NZ"</f>
        <v>NZ</v>
      </c>
    </row>
    <row r="98" customFormat="false" ht="15" hidden="false" customHeight="false" outlineLevel="0" collapsed="false">
      <c r="C98" s="0" t="s">
        <v>9</v>
      </c>
      <c r="D98" s="0" t="s">
        <v>10</v>
      </c>
      <c r="E98" s="0" t="s">
        <v>11</v>
      </c>
      <c r="F98" s="0" t="n">
        <v>22</v>
      </c>
      <c r="G98" s="11" t="n">
        <v>44446</v>
      </c>
      <c r="H98" s="10" t="n">
        <v>112780</v>
      </c>
      <c r="I98" s="0" t="s">
        <v>12</v>
      </c>
      <c r="J98" s="0" t="str">
        <f aca="false">"NZ"</f>
        <v>NZ</v>
      </c>
    </row>
    <row r="99" customFormat="false" ht="15" hidden="false" customHeight="false" outlineLevel="0" collapsed="false">
      <c r="C99" s="0" t="s">
        <v>13</v>
      </c>
      <c r="D99" s="0" t="s">
        <v>10</v>
      </c>
      <c r="E99" s="0" t="s">
        <v>14</v>
      </c>
      <c r="F99" s="0" t="n">
        <v>46</v>
      </c>
      <c r="G99" s="11" t="n">
        <v>44758</v>
      </c>
      <c r="H99" s="10" t="n">
        <v>70610</v>
      </c>
      <c r="I99" s="0" t="s">
        <v>15</v>
      </c>
      <c r="J99" s="0" t="str">
        <f aca="false">"NZ"</f>
        <v>NZ</v>
      </c>
    </row>
    <row r="100" customFormat="false" ht="15" hidden="false" customHeight="false" outlineLevel="0" collapsed="false">
      <c r="C100" s="0" t="s">
        <v>16</v>
      </c>
      <c r="D100" s="0" t="s">
        <v>17</v>
      </c>
      <c r="E100" s="0" t="s">
        <v>11</v>
      </c>
      <c r="F100" s="0" t="n">
        <v>28</v>
      </c>
      <c r="G100" s="11" t="n">
        <v>44357</v>
      </c>
      <c r="H100" s="10" t="n">
        <v>53240</v>
      </c>
      <c r="I100" s="0" t="s">
        <v>15</v>
      </c>
      <c r="J100" s="0" t="str">
        <f aca="false">"NZ"</f>
        <v>NZ</v>
      </c>
    </row>
    <row r="101" customFormat="false" ht="15" hidden="false" customHeight="false" outlineLevel="0" collapsed="false">
      <c r="C101" s="0" t="s">
        <v>18</v>
      </c>
      <c r="E101" s="0" t="s">
        <v>19</v>
      </c>
      <c r="F101" s="0" t="n">
        <v>37</v>
      </c>
      <c r="G101" s="11" t="n">
        <v>44146</v>
      </c>
      <c r="H101" s="10" t="n">
        <v>115440</v>
      </c>
      <c r="I101" s="0" t="s">
        <v>20</v>
      </c>
      <c r="J101" s="0" t="str">
        <f aca="false">"NZ"</f>
        <v>NZ</v>
      </c>
    </row>
    <row r="102" customFormat="false" ht="15" hidden="false" customHeight="false" outlineLevel="0" collapsed="false">
      <c r="C102" s="0" t="s">
        <v>21</v>
      </c>
      <c r="D102" s="0" t="s">
        <v>10</v>
      </c>
      <c r="E102" s="0" t="s">
        <v>11</v>
      </c>
      <c r="F102" s="0" t="n">
        <v>32</v>
      </c>
      <c r="G102" s="11" t="n">
        <v>44465</v>
      </c>
      <c r="H102" s="10" t="n">
        <v>53540</v>
      </c>
      <c r="I102" s="0" t="s">
        <v>15</v>
      </c>
      <c r="J102" s="0" t="str">
        <f aca="false">"NZ"</f>
        <v>NZ</v>
      </c>
    </row>
    <row r="103" customFormat="false" ht="15" hidden="false" customHeight="false" outlineLevel="0" collapsed="false">
      <c r="C103" s="0" t="s">
        <v>22</v>
      </c>
      <c r="D103" s="0" t="s">
        <v>17</v>
      </c>
      <c r="E103" s="0" t="s">
        <v>14</v>
      </c>
      <c r="F103" s="0" t="n">
        <v>30</v>
      </c>
      <c r="G103" s="11" t="n">
        <v>44861</v>
      </c>
      <c r="H103" s="10" t="n">
        <v>112570</v>
      </c>
      <c r="I103" s="0" t="s">
        <v>15</v>
      </c>
      <c r="J103" s="0" t="str">
        <f aca="false">"NZ"</f>
        <v>NZ</v>
      </c>
    </row>
    <row r="104" customFormat="false" ht="15" hidden="false" customHeight="false" outlineLevel="0" collapsed="false">
      <c r="C104" s="0" t="s">
        <v>23</v>
      </c>
      <c r="D104" s="0" t="s">
        <v>10</v>
      </c>
      <c r="E104" s="0" t="s">
        <v>14</v>
      </c>
      <c r="F104" s="0" t="n">
        <v>33</v>
      </c>
      <c r="G104" s="11" t="n">
        <v>44701</v>
      </c>
      <c r="H104" s="10" t="n">
        <v>48530</v>
      </c>
      <c r="I104" s="0" t="s">
        <v>12</v>
      </c>
      <c r="J104" s="0" t="str">
        <f aca="false">"NZ"</f>
        <v>NZ</v>
      </c>
    </row>
  </sheetData>
  <conditionalFormatting sqref="C1:C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L114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L3" activeCellId="0" sqref="L3"/>
    </sheetView>
  </sheetViews>
  <sheetFormatPr defaultRowHeight="15" zeroHeight="false" outlineLevelRow="0" outlineLevelCol="0"/>
  <cols>
    <col collapsed="false" customWidth="true" hidden="false" outlineLevel="0" max="1" min="1" style="0" width="8.54"/>
    <col collapsed="false" customWidth="true" hidden="false" outlineLevel="0" max="2" min="2" style="0" width="30.01"/>
    <col collapsed="false" customWidth="true" hidden="false" outlineLevel="0" max="3" min="3" style="0" width="10"/>
    <col collapsed="false" customWidth="true" hidden="false" outlineLevel="0" max="4" min="4" style="0" width="14.28"/>
    <col collapsed="false" customWidth="true" hidden="false" outlineLevel="0" max="5" min="5" style="0" width="9.42"/>
    <col collapsed="false" customWidth="true" hidden="false" outlineLevel="0" max="6" min="6" style="0" width="13.86"/>
    <col collapsed="false" customWidth="true" hidden="false" outlineLevel="0" max="7" min="7" style="0" width="9.42"/>
    <col collapsed="false" customWidth="true" hidden="false" outlineLevel="0" max="8" min="8" style="0" width="14.15"/>
    <col collapsed="false" customWidth="true" hidden="false" outlineLevel="0" max="9" min="9" style="0" width="11.29"/>
    <col collapsed="false" customWidth="true" hidden="false" outlineLevel="0" max="10" min="10" style="0" width="9.71"/>
    <col collapsed="false" customWidth="true" hidden="false" outlineLevel="0" max="11" min="11" style="0" width="13.7"/>
    <col collapsed="false" customWidth="true" hidden="false" outlineLevel="0" max="12" min="12" style="0" width="14.86"/>
    <col collapsed="false" customWidth="true" hidden="false" outlineLevel="0" max="1025" min="13" style="0" width="8.54"/>
  </cols>
  <sheetData>
    <row r="2" customFormat="false" ht="15" hidden="false" customHeight="false" outlineLevel="0" collapsed="false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112</v>
      </c>
      <c r="K2" s="6" t="s">
        <v>113</v>
      </c>
      <c r="L2" s="6" t="s">
        <v>114</v>
      </c>
    </row>
    <row r="3" customFormat="false" ht="15" hidden="false" customHeight="false" outlineLevel="0" collapsed="false">
      <c r="B3" s="0" t="s">
        <v>115</v>
      </c>
      <c r="C3" s="0" t="s">
        <v>10</v>
      </c>
      <c r="D3" s="0" t="s">
        <v>25</v>
      </c>
      <c r="E3" s="0" t="n">
        <v>36</v>
      </c>
      <c r="F3" s="9" t="n">
        <v>43958</v>
      </c>
      <c r="G3" s="0" t="n">
        <v>118840</v>
      </c>
      <c r="H3" s="0" t="s">
        <v>15</v>
      </c>
      <c r="I3" s="0" t="str">
        <f aca="false">"IND"</f>
        <v>IND</v>
      </c>
      <c r="J3" s="0" t="n">
        <f aca="false">YEAR(India_staff[[#This Row],[Date Joined]])</f>
        <v>2020</v>
      </c>
      <c r="K3" s="0" t="n">
        <f aca="false">MONTH(India_staff[[#This Row],[Date Joined]])</f>
        <v>5</v>
      </c>
      <c r="L3" s="0" t="str">
        <f aca="false">TEXT(India_staff[[#This Row],[Date Joined]],"mmm")</f>
        <v>May</v>
      </c>
    </row>
    <row r="4" customFormat="false" ht="15" hidden="false" customHeight="false" outlineLevel="0" collapsed="false">
      <c r="B4" s="0" t="s">
        <v>115</v>
      </c>
      <c r="C4" s="0" t="s">
        <v>10</v>
      </c>
      <c r="D4" s="0" t="s">
        <v>25</v>
      </c>
      <c r="E4" s="0" t="n">
        <v>36</v>
      </c>
      <c r="F4" s="9" t="n">
        <v>43958</v>
      </c>
      <c r="G4" s="0" t="n">
        <v>118840</v>
      </c>
      <c r="H4" s="0" t="s">
        <v>15</v>
      </c>
      <c r="I4" s="0" t="str">
        <f aca="false">"IND"</f>
        <v>IND</v>
      </c>
      <c r="J4" s="0" t="n">
        <f aca="false">YEAR(India_staff[[#This Row],[Date Joined]])</f>
        <v>2020</v>
      </c>
      <c r="K4" s="0" t="n">
        <f aca="false">MONTH(India_staff[[#This Row],[Date Joined]])</f>
        <v>5</v>
      </c>
      <c r="L4" s="0" t="str">
        <f aca="false">TEXT(India_staff[[#This Row],[Date Joined]],"mmm")</f>
        <v>May</v>
      </c>
    </row>
    <row r="5" customFormat="false" ht="15" hidden="false" customHeight="false" outlineLevel="0" collapsed="false">
      <c r="B5" s="0" t="s">
        <v>116</v>
      </c>
      <c r="C5" s="0" t="s">
        <v>17</v>
      </c>
      <c r="D5" s="0" t="s">
        <v>25</v>
      </c>
      <c r="E5" s="0" t="n">
        <v>29</v>
      </c>
      <c r="F5" s="9" t="n">
        <v>43962</v>
      </c>
      <c r="G5" s="0" t="n">
        <v>34980</v>
      </c>
      <c r="H5" s="0" t="s">
        <v>15</v>
      </c>
      <c r="I5" s="0" t="str">
        <f aca="false">"IND"</f>
        <v>IND</v>
      </c>
      <c r="J5" s="0" t="n">
        <f aca="false">YEAR(India_staff[[#This Row],[Date Joined]])</f>
        <v>2020</v>
      </c>
      <c r="K5" s="0" t="n">
        <f aca="false">MONTH(India_staff[[#This Row],[Date Joined]])</f>
        <v>5</v>
      </c>
      <c r="L5" s="0" t="str">
        <f aca="false">TEXT(India_staff[[#This Row],[Date Joined]],"mmm")</f>
        <v>May</v>
      </c>
    </row>
    <row r="6" customFormat="false" ht="15" hidden="false" customHeight="false" outlineLevel="0" collapsed="false">
      <c r="B6" s="0" t="s">
        <v>117</v>
      </c>
      <c r="C6" s="0" t="s">
        <v>10</v>
      </c>
      <c r="D6" s="0" t="s">
        <v>19</v>
      </c>
      <c r="E6" s="0" t="n">
        <v>28</v>
      </c>
      <c r="F6" s="9" t="n">
        <v>43980</v>
      </c>
      <c r="G6" s="0" t="n">
        <v>48170</v>
      </c>
      <c r="H6" s="0" t="s">
        <v>12</v>
      </c>
      <c r="I6" s="0" t="str">
        <f aca="false">"IND"</f>
        <v>IND</v>
      </c>
      <c r="J6" s="0" t="n">
        <f aca="false">YEAR(India_staff[[#This Row],[Date Joined]])</f>
        <v>2020</v>
      </c>
      <c r="K6" s="0" t="n">
        <f aca="false">MONTH(India_staff[[#This Row],[Date Joined]])</f>
        <v>5</v>
      </c>
      <c r="L6" s="0" t="str">
        <f aca="false">TEXT(India_staff[[#This Row],[Date Joined]],"mmm")</f>
        <v>May</v>
      </c>
    </row>
    <row r="7" customFormat="false" ht="15" hidden="false" customHeight="false" outlineLevel="0" collapsed="false">
      <c r="B7" s="0" t="s">
        <v>117</v>
      </c>
      <c r="C7" s="0" t="s">
        <v>10</v>
      </c>
      <c r="D7" s="0" t="s">
        <v>19</v>
      </c>
      <c r="E7" s="0" t="n">
        <v>28</v>
      </c>
      <c r="F7" s="9" t="n">
        <v>43980</v>
      </c>
      <c r="G7" s="0" t="n">
        <v>48170</v>
      </c>
      <c r="H7" s="0" t="s">
        <v>12</v>
      </c>
      <c r="I7" s="0" t="str">
        <f aca="false">"IND"</f>
        <v>IND</v>
      </c>
      <c r="J7" s="0" t="n">
        <f aca="false">YEAR(India_staff[[#This Row],[Date Joined]])</f>
        <v>2020</v>
      </c>
      <c r="K7" s="0" t="n">
        <f aca="false">MONTH(India_staff[[#This Row],[Date Joined]])</f>
        <v>5</v>
      </c>
      <c r="L7" s="0" t="str">
        <f aca="false">TEXT(India_staff[[#This Row],[Date Joined]],"mmm")</f>
        <v>May</v>
      </c>
    </row>
    <row r="8" customFormat="false" ht="15" hidden="false" customHeight="false" outlineLevel="0" collapsed="false">
      <c r="B8" s="0" t="s">
        <v>118</v>
      </c>
      <c r="C8" s="0" t="s">
        <v>17</v>
      </c>
      <c r="D8" s="0" t="s">
        <v>19</v>
      </c>
      <c r="E8" s="0" t="n">
        <v>33</v>
      </c>
      <c r="F8" s="9" t="n">
        <v>44006</v>
      </c>
      <c r="G8" s="0" t="n">
        <v>65360</v>
      </c>
      <c r="H8" s="0" t="s">
        <v>15</v>
      </c>
      <c r="I8" s="0" t="str">
        <f aca="false">"IND"</f>
        <v>IND</v>
      </c>
      <c r="J8" s="0" t="n">
        <f aca="false">YEAR(India_staff[[#This Row],[Date Joined]])</f>
        <v>2020</v>
      </c>
      <c r="K8" s="0" t="n">
        <f aca="false">MONTH(India_staff[[#This Row],[Date Joined]])</f>
        <v>6</v>
      </c>
      <c r="L8" s="0" t="str">
        <f aca="false">TEXT(India_staff[[#This Row],[Date Joined]],"mmm")</f>
        <v>Jun</v>
      </c>
    </row>
    <row r="9" customFormat="false" ht="15" hidden="false" customHeight="false" outlineLevel="0" collapsed="false">
      <c r="B9" s="0" t="s">
        <v>119</v>
      </c>
      <c r="C9" s="0" t="s">
        <v>17</v>
      </c>
      <c r="D9" s="0" t="s">
        <v>14</v>
      </c>
      <c r="E9" s="0" t="n">
        <v>36</v>
      </c>
      <c r="F9" s="9" t="n">
        <v>44023</v>
      </c>
      <c r="G9" s="0" t="n">
        <v>114890</v>
      </c>
      <c r="H9" s="0" t="s">
        <v>15</v>
      </c>
      <c r="I9" s="0" t="str">
        <f aca="false">"IND"</f>
        <v>IND</v>
      </c>
      <c r="J9" s="0" t="n">
        <f aca="false">YEAR(India_staff[[#This Row],[Date Joined]])</f>
        <v>2020</v>
      </c>
      <c r="K9" s="0" t="n">
        <f aca="false">MONTH(India_staff[[#This Row],[Date Joined]])</f>
        <v>7</v>
      </c>
      <c r="L9" s="0" t="str">
        <f aca="false">TEXT(India_staff[[#This Row],[Date Joined]],"mmm")</f>
        <v>Jul</v>
      </c>
    </row>
    <row r="10" customFormat="false" ht="15" hidden="false" customHeight="false" outlineLevel="0" collapsed="false">
      <c r="B10" s="0" t="s">
        <v>120</v>
      </c>
      <c r="C10" s="0" t="s">
        <v>10</v>
      </c>
      <c r="D10" s="0" t="s">
        <v>14</v>
      </c>
      <c r="E10" s="0" t="n">
        <v>21</v>
      </c>
      <c r="F10" s="9" t="n">
        <v>44042</v>
      </c>
      <c r="G10" s="0" t="n">
        <v>37920</v>
      </c>
      <c r="H10" s="0" t="s">
        <v>15</v>
      </c>
      <c r="I10" s="0" t="str">
        <f aca="false">"IND"</f>
        <v>IND</v>
      </c>
      <c r="J10" s="0" t="n">
        <f aca="false">YEAR(India_staff[[#This Row],[Date Joined]])</f>
        <v>2020</v>
      </c>
      <c r="K10" s="0" t="n">
        <f aca="false">MONTH(India_staff[[#This Row],[Date Joined]])</f>
        <v>7</v>
      </c>
      <c r="L10" s="0" t="str">
        <f aca="false">TEXT(India_staff[[#This Row],[Date Joined]],"mmm")</f>
        <v>Jul</v>
      </c>
    </row>
    <row r="11" customFormat="false" ht="15" hidden="false" customHeight="false" outlineLevel="0" collapsed="false">
      <c r="B11" s="0" t="s">
        <v>120</v>
      </c>
      <c r="C11" s="0" t="s">
        <v>10</v>
      </c>
      <c r="D11" s="0" t="s">
        <v>14</v>
      </c>
      <c r="E11" s="0" t="n">
        <v>21</v>
      </c>
      <c r="F11" s="9" t="n">
        <v>44042</v>
      </c>
      <c r="G11" s="0" t="n">
        <v>37920</v>
      </c>
      <c r="H11" s="0" t="s">
        <v>15</v>
      </c>
      <c r="I11" s="0" t="str">
        <f aca="false">"IND"</f>
        <v>IND</v>
      </c>
      <c r="J11" s="0" t="n">
        <f aca="false">YEAR(India_staff[[#This Row],[Date Joined]])</f>
        <v>2020</v>
      </c>
      <c r="K11" s="0" t="n">
        <f aca="false">MONTH(India_staff[[#This Row],[Date Joined]])</f>
        <v>7</v>
      </c>
      <c r="L11" s="0" t="str">
        <f aca="false">TEXT(India_staff[[#This Row],[Date Joined]],"mmm")</f>
        <v>Jul</v>
      </c>
    </row>
    <row r="12" customFormat="false" ht="15" hidden="false" customHeight="false" outlineLevel="0" collapsed="false">
      <c r="B12" s="0" t="s">
        <v>121</v>
      </c>
      <c r="C12" s="0" t="s">
        <v>17</v>
      </c>
      <c r="D12" s="0" t="s">
        <v>28</v>
      </c>
      <c r="E12" s="0" t="n">
        <v>27</v>
      </c>
      <c r="F12" s="9" t="n">
        <v>44061</v>
      </c>
      <c r="G12" s="0" t="n">
        <v>119110</v>
      </c>
      <c r="H12" s="0" t="s">
        <v>15</v>
      </c>
      <c r="I12" s="0" t="str">
        <f aca="false">"IND"</f>
        <v>IND</v>
      </c>
      <c r="J12" s="0" t="n">
        <f aca="false">YEAR(India_staff[[#This Row],[Date Joined]])</f>
        <v>2020</v>
      </c>
      <c r="K12" s="0" t="n">
        <f aca="false">MONTH(India_staff[[#This Row],[Date Joined]])</f>
        <v>8</v>
      </c>
      <c r="L12" s="0" t="str">
        <f aca="false">TEXT(India_staff[[#This Row],[Date Joined]],"mmm")</f>
        <v>Aug</v>
      </c>
    </row>
    <row r="13" customFormat="false" ht="15" hidden="false" customHeight="false" outlineLevel="0" collapsed="false">
      <c r="B13" s="0" t="s">
        <v>122</v>
      </c>
      <c r="C13" s="0" t="s">
        <v>10</v>
      </c>
      <c r="D13" s="0" t="s">
        <v>11</v>
      </c>
      <c r="E13" s="0" t="n">
        <v>27</v>
      </c>
      <c r="F13" s="9" t="n">
        <v>44073</v>
      </c>
      <c r="G13" s="0" t="n">
        <v>54970</v>
      </c>
      <c r="H13" s="0" t="s">
        <v>15</v>
      </c>
      <c r="I13" s="0" t="str">
        <f aca="false">"IND"</f>
        <v>IND</v>
      </c>
      <c r="J13" s="0" t="n">
        <f aca="false">YEAR(India_staff[[#This Row],[Date Joined]])</f>
        <v>2020</v>
      </c>
      <c r="K13" s="0" t="n">
        <f aca="false">MONTH(India_staff[[#This Row],[Date Joined]])</f>
        <v>8</v>
      </c>
      <c r="L13" s="0" t="str">
        <f aca="false">TEXT(India_staff[[#This Row],[Date Joined]],"mmm")</f>
        <v>Aug</v>
      </c>
    </row>
    <row r="14" customFormat="false" ht="15" hidden="false" customHeight="false" outlineLevel="0" collapsed="false">
      <c r="B14" s="0" t="s">
        <v>123</v>
      </c>
      <c r="C14" s="0" t="s">
        <v>17</v>
      </c>
      <c r="D14" s="0" t="s">
        <v>25</v>
      </c>
      <c r="E14" s="0" t="n">
        <v>31</v>
      </c>
      <c r="F14" s="9" t="n">
        <v>44084</v>
      </c>
      <c r="G14" s="0" t="n">
        <v>41980</v>
      </c>
      <c r="H14" s="0" t="s">
        <v>15</v>
      </c>
      <c r="I14" s="0" t="str">
        <f aca="false">"IND"</f>
        <v>IND</v>
      </c>
      <c r="J14" s="0" t="n">
        <f aca="false">YEAR(India_staff[[#This Row],[Date Joined]])</f>
        <v>2020</v>
      </c>
      <c r="K14" s="0" t="n">
        <f aca="false">MONTH(India_staff[[#This Row],[Date Joined]])</f>
        <v>9</v>
      </c>
      <c r="L14" s="0" t="str">
        <f aca="false">TEXT(India_staff[[#This Row],[Date Joined]],"mmm")</f>
        <v>Sep</v>
      </c>
    </row>
    <row r="15" customFormat="false" ht="15" hidden="false" customHeight="false" outlineLevel="0" collapsed="false">
      <c r="B15" s="0" t="s">
        <v>124</v>
      </c>
      <c r="D15" s="0" t="s">
        <v>19</v>
      </c>
      <c r="E15" s="0" t="n">
        <v>37</v>
      </c>
      <c r="F15" s="9" t="n">
        <v>44085</v>
      </c>
      <c r="G15" s="0" t="n">
        <v>115440</v>
      </c>
      <c r="H15" s="0" t="s">
        <v>20</v>
      </c>
      <c r="I15" s="0" t="str">
        <f aca="false">"IND"</f>
        <v>IND</v>
      </c>
      <c r="J15" s="0" t="n">
        <f aca="false">YEAR(India_staff[[#This Row],[Date Joined]])</f>
        <v>2020</v>
      </c>
      <c r="K15" s="0" t="n">
        <f aca="false">MONTH(India_staff[[#This Row],[Date Joined]])</f>
        <v>9</v>
      </c>
      <c r="L15" s="0" t="str">
        <f aca="false">TEXT(India_staff[[#This Row],[Date Joined]],"mmm")</f>
        <v>Sep</v>
      </c>
    </row>
    <row r="16" customFormat="false" ht="15" hidden="false" customHeight="false" outlineLevel="0" collapsed="false">
      <c r="B16" s="0" t="s">
        <v>124</v>
      </c>
      <c r="D16" s="0" t="s">
        <v>19</v>
      </c>
      <c r="E16" s="0" t="n">
        <v>37</v>
      </c>
      <c r="F16" s="9" t="n">
        <v>44085</v>
      </c>
      <c r="G16" s="0" t="n">
        <v>115440</v>
      </c>
      <c r="H16" s="0" t="s">
        <v>20</v>
      </c>
      <c r="I16" s="0" t="str">
        <f aca="false">"IND"</f>
        <v>IND</v>
      </c>
      <c r="J16" s="0" t="n">
        <f aca="false">YEAR(India_staff[[#This Row],[Date Joined]])</f>
        <v>2020</v>
      </c>
      <c r="K16" s="0" t="n">
        <f aca="false">MONTH(India_staff[[#This Row],[Date Joined]])</f>
        <v>9</v>
      </c>
      <c r="L16" s="0" t="str">
        <f aca="false">TEXT(India_staff[[#This Row],[Date Joined]],"mmm")</f>
        <v>Sep</v>
      </c>
    </row>
    <row r="17" customFormat="false" ht="15" hidden="false" customHeight="false" outlineLevel="0" collapsed="false">
      <c r="B17" s="0" t="s">
        <v>125</v>
      </c>
      <c r="C17" s="0" t="s">
        <v>17</v>
      </c>
      <c r="D17" s="0" t="s">
        <v>25</v>
      </c>
      <c r="E17" s="0" t="n">
        <v>24</v>
      </c>
      <c r="F17" s="9" t="n">
        <v>44087</v>
      </c>
      <c r="G17" s="0" t="n">
        <v>62780</v>
      </c>
      <c r="H17" s="0" t="s">
        <v>15</v>
      </c>
      <c r="I17" s="0" t="str">
        <f aca="false">"IND"</f>
        <v>IND</v>
      </c>
      <c r="J17" s="0" t="n">
        <f aca="false">YEAR(India_staff[[#This Row],[Date Joined]])</f>
        <v>2020</v>
      </c>
      <c r="K17" s="0" t="n">
        <f aca="false">MONTH(India_staff[[#This Row],[Date Joined]])</f>
        <v>9</v>
      </c>
      <c r="L17" s="0" t="str">
        <f aca="false">TEXT(India_staff[[#This Row],[Date Joined]],"mmm")</f>
        <v>Sep</v>
      </c>
    </row>
    <row r="18" customFormat="false" ht="15" hidden="false" customHeight="false" outlineLevel="0" collapsed="false">
      <c r="B18" s="0" t="s">
        <v>126</v>
      </c>
      <c r="C18" s="0" t="s">
        <v>10</v>
      </c>
      <c r="D18" s="0" t="s">
        <v>14</v>
      </c>
      <c r="E18" s="0" t="n">
        <v>33</v>
      </c>
      <c r="F18" s="9" t="n">
        <v>44103</v>
      </c>
      <c r="G18" s="0" t="n">
        <v>115920</v>
      </c>
      <c r="H18" s="0" t="s">
        <v>15</v>
      </c>
      <c r="I18" s="0" t="str">
        <f aca="false">"IND"</f>
        <v>IND</v>
      </c>
      <c r="J18" s="0" t="n">
        <f aca="false">YEAR(India_staff[[#This Row],[Date Joined]])</f>
        <v>2020</v>
      </c>
      <c r="K18" s="0" t="n">
        <f aca="false">MONTH(India_staff[[#This Row],[Date Joined]])</f>
        <v>9</v>
      </c>
      <c r="L18" s="0" t="str">
        <f aca="false">TEXT(India_staff[[#This Row],[Date Joined]],"mmm")</f>
        <v>Sep</v>
      </c>
    </row>
    <row r="19" customFormat="false" ht="15" hidden="false" customHeight="false" outlineLevel="0" collapsed="false">
      <c r="B19" s="0" t="s">
        <v>127</v>
      </c>
      <c r="C19" s="0" t="s">
        <v>10</v>
      </c>
      <c r="D19" s="0" t="s">
        <v>25</v>
      </c>
      <c r="E19" s="0" t="n">
        <v>29</v>
      </c>
      <c r="F19" s="9" t="n">
        <v>44119</v>
      </c>
      <c r="G19" s="0" t="n">
        <v>112110</v>
      </c>
      <c r="H19" s="0" t="s">
        <v>20</v>
      </c>
      <c r="I19" s="0" t="str">
        <f aca="false">"IND"</f>
        <v>IND</v>
      </c>
      <c r="J19" s="0" t="n">
        <f aca="false">YEAR(India_staff[[#This Row],[Date Joined]])</f>
        <v>2020</v>
      </c>
      <c r="K19" s="0" t="n">
        <f aca="false">MONTH(India_staff[[#This Row],[Date Joined]])</f>
        <v>10</v>
      </c>
      <c r="L19" s="0" t="str">
        <f aca="false">TEXT(India_staff[[#This Row],[Date Joined]],"mmm")</f>
        <v>Oct</v>
      </c>
    </row>
    <row r="20" customFormat="false" ht="15" hidden="false" customHeight="false" outlineLevel="0" collapsed="false">
      <c r="B20" s="0" t="s">
        <v>128</v>
      </c>
      <c r="C20" s="0" t="s">
        <v>10</v>
      </c>
      <c r="D20" s="0" t="s">
        <v>25</v>
      </c>
      <c r="E20" s="0" t="n">
        <v>20</v>
      </c>
      <c r="F20" s="9" t="n">
        <v>44122</v>
      </c>
      <c r="G20" s="0" t="n">
        <v>112650</v>
      </c>
      <c r="H20" s="0" t="s">
        <v>15</v>
      </c>
      <c r="I20" s="0" t="str">
        <f aca="false">"IND"</f>
        <v>IND</v>
      </c>
      <c r="J20" s="0" t="n">
        <f aca="false">YEAR(India_staff[[#This Row],[Date Joined]])</f>
        <v>2020</v>
      </c>
      <c r="K20" s="0" t="n">
        <f aca="false">MONTH(India_staff[[#This Row],[Date Joined]])</f>
        <v>10</v>
      </c>
      <c r="L20" s="0" t="str">
        <f aca="false">TEXT(India_staff[[#This Row],[Date Joined]],"mmm")</f>
        <v>Oct</v>
      </c>
    </row>
    <row r="21" customFormat="false" ht="15" hidden="false" customHeight="false" outlineLevel="0" collapsed="false">
      <c r="B21" s="0" t="s">
        <v>128</v>
      </c>
      <c r="C21" s="0" t="s">
        <v>10</v>
      </c>
      <c r="D21" s="0" t="s">
        <v>25</v>
      </c>
      <c r="E21" s="0" t="n">
        <v>20</v>
      </c>
      <c r="F21" s="9" t="n">
        <v>44122</v>
      </c>
      <c r="G21" s="0" t="n">
        <v>112650</v>
      </c>
      <c r="H21" s="0" t="s">
        <v>15</v>
      </c>
      <c r="I21" s="0" t="str">
        <f aca="false">"IND"</f>
        <v>IND</v>
      </c>
      <c r="J21" s="0" t="n">
        <f aca="false">YEAR(India_staff[[#This Row],[Date Joined]])</f>
        <v>2020</v>
      </c>
      <c r="K21" s="0" t="n">
        <f aca="false">MONTH(India_staff[[#This Row],[Date Joined]])</f>
        <v>10</v>
      </c>
      <c r="L21" s="0" t="str">
        <f aca="false">TEXT(India_staff[[#This Row],[Date Joined]],"mmm")</f>
        <v>Oct</v>
      </c>
    </row>
    <row r="22" customFormat="false" ht="15" hidden="false" customHeight="false" outlineLevel="0" collapsed="false">
      <c r="B22" s="0" t="s">
        <v>129</v>
      </c>
      <c r="C22" s="0" t="s">
        <v>17</v>
      </c>
      <c r="D22" s="0" t="s">
        <v>19</v>
      </c>
      <c r="E22" s="0" t="n">
        <v>28</v>
      </c>
      <c r="F22" s="9" t="n">
        <v>44124</v>
      </c>
      <c r="G22" s="0" t="n">
        <v>75970</v>
      </c>
      <c r="H22" s="0" t="s">
        <v>15</v>
      </c>
      <c r="I22" s="0" t="str">
        <f aca="false">"IND"</f>
        <v>IND</v>
      </c>
      <c r="J22" s="0" t="n">
        <f aca="false">YEAR(India_staff[[#This Row],[Date Joined]])</f>
        <v>2020</v>
      </c>
      <c r="K22" s="0" t="n">
        <f aca="false">MONTH(India_staff[[#This Row],[Date Joined]])</f>
        <v>10</v>
      </c>
      <c r="L22" s="0" t="str">
        <f aca="false">TEXT(India_staff[[#This Row],[Date Joined]],"mmm")</f>
        <v>Oct</v>
      </c>
    </row>
    <row r="23" customFormat="false" ht="15" hidden="false" customHeight="false" outlineLevel="0" collapsed="false">
      <c r="B23" s="0" t="s">
        <v>130</v>
      </c>
      <c r="C23" s="0" t="s">
        <v>17</v>
      </c>
      <c r="D23" s="0" t="s">
        <v>25</v>
      </c>
      <c r="E23" s="0" t="n">
        <v>33</v>
      </c>
      <c r="F23" s="9" t="n">
        <v>44129</v>
      </c>
      <c r="G23" s="0" t="n">
        <v>96140</v>
      </c>
      <c r="H23" s="0" t="s">
        <v>15</v>
      </c>
      <c r="I23" s="0" t="str">
        <f aca="false">"IND"</f>
        <v>IND</v>
      </c>
      <c r="J23" s="0" t="n">
        <f aca="false">YEAR(India_staff[[#This Row],[Date Joined]])</f>
        <v>2020</v>
      </c>
      <c r="K23" s="0" t="n">
        <f aca="false">MONTH(India_staff[[#This Row],[Date Joined]])</f>
        <v>10</v>
      </c>
      <c r="L23" s="0" t="str">
        <f aca="false">TEXT(India_staff[[#This Row],[Date Joined]],"mmm")</f>
        <v>Oct</v>
      </c>
    </row>
    <row r="24" customFormat="false" ht="15" hidden="false" customHeight="false" outlineLevel="0" collapsed="false">
      <c r="B24" s="0" t="s">
        <v>131</v>
      </c>
      <c r="C24" s="0" t="s">
        <v>17</v>
      </c>
      <c r="D24" s="0" t="s">
        <v>11</v>
      </c>
      <c r="E24" s="0" t="n">
        <v>25</v>
      </c>
      <c r="F24" s="9" t="n">
        <v>44144</v>
      </c>
      <c r="G24" s="0" t="n">
        <v>92700</v>
      </c>
      <c r="H24" s="0" t="s">
        <v>15</v>
      </c>
      <c r="I24" s="0" t="str">
        <f aca="false">"IND"</f>
        <v>IND</v>
      </c>
      <c r="J24" s="0" t="n">
        <f aca="false">YEAR(India_staff[[#This Row],[Date Joined]])</f>
        <v>2020</v>
      </c>
      <c r="K24" s="0" t="n">
        <f aca="false">MONTH(India_staff[[#This Row],[Date Joined]])</f>
        <v>11</v>
      </c>
      <c r="L24" s="0" t="str">
        <f aca="false">TEXT(India_staff[[#This Row],[Date Joined]],"mmm")</f>
        <v>Nov</v>
      </c>
    </row>
    <row r="25" customFormat="false" ht="15" hidden="false" customHeight="false" outlineLevel="0" collapsed="false">
      <c r="B25" s="0" t="s">
        <v>131</v>
      </c>
      <c r="C25" s="0" t="s">
        <v>17</v>
      </c>
      <c r="D25" s="0" t="s">
        <v>11</v>
      </c>
      <c r="E25" s="0" t="n">
        <v>25</v>
      </c>
      <c r="F25" s="9" t="n">
        <v>44144</v>
      </c>
      <c r="G25" s="0" t="n">
        <v>92700</v>
      </c>
      <c r="H25" s="0" t="s">
        <v>15</v>
      </c>
      <c r="I25" s="0" t="str">
        <f aca="false">"IND"</f>
        <v>IND</v>
      </c>
      <c r="J25" s="0" t="n">
        <f aca="false">YEAR(India_staff[[#This Row],[Date Joined]])</f>
        <v>2020</v>
      </c>
      <c r="K25" s="0" t="n">
        <f aca="false">MONTH(India_staff[[#This Row],[Date Joined]])</f>
        <v>11</v>
      </c>
      <c r="L25" s="0" t="str">
        <f aca="false">TEXT(India_staff[[#This Row],[Date Joined]],"mmm")</f>
        <v>Nov</v>
      </c>
    </row>
    <row r="26" customFormat="false" ht="15" hidden="false" customHeight="false" outlineLevel="0" collapsed="false">
      <c r="B26" s="0" t="s">
        <v>132</v>
      </c>
      <c r="C26" s="0" t="s">
        <v>10</v>
      </c>
      <c r="D26" s="0" t="s">
        <v>14</v>
      </c>
      <c r="E26" s="0" t="n">
        <v>26</v>
      </c>
      <c r="F26" s="9" t="n">
        <v>44164</v>
      </c>
      <c r="G26" s="0" t="n">
        <v>47360</v>
      </c>
      <c r="H26" s="0" t="s">
        <v>15</v>
      </c>
      <c r="I26" s="0" t="str">
        <f aca="false">"IND"</f>
        <v>IND</v>
      </c>
      <c r="J26" s="0" t="n">
        <f aca="false">YEAR(India_staff[[#This Row],[Date Joined]])</f>
        <v>2020</v>
      </c>
      <c r="K26" s="0" t="n">
        <f aca="false">MONTH(India_staff[[#This Row],[Date Joined]])</f>
        <v>11</v>
      </c>
      <c r="L26" s="0" t="str">
        <f aca="false">TEXT(India_staff[[#This Row],[Date Joined]],"mmm")</f>
        <v>Nov</v>
      </c>
    </row>
    <row r="27" customFormat="false" ht="15" hidden="false" customHeight="false" outlineLevel="0" collapsed="false">
      <c r="B27" s="0" t="s">
        <v>133</v>
      </c>
      <c r="C27" s="0" t="s">
        <v>10</v>
      </c>
      <c r="D27" s="0" t="s">
        <v>19</v>
      </c>
      <c r="E27" s="0" t="n">
        <v>27</v>
      </c>
      <c r="F27" s="9" t="n">
        <v>44174</v>
      </c>
      <c r="G27" s="0" t="n">
        <v>91650</v>
      </c>
      <c r="H27" s="0" t="s">
        <v>12</v>
      </c>
      <c r="I27" s="0" t="str">
        <f aca="false">"IND"</f>
        <v>IND</v>
      </c>
      <c r="J27" s="0" t="n">
        <f aca="false">YEAR(India_staff[[#This Row],[Date Joined]])</f>
        <v>2020</v>
      </c>
      <c r="K27" s="0" t="n">
        <f aca="false">MONTH(India_staff[[#This Row],[Date Joined]])</f>
        <v>12</v>
      </c>
      <c r="L27" s="0" t="str">
        <f aca="false">TEXT(India_staff[[#This Row],[Date Joined]],"mmm")</f>
        <v>Dec</v>
      </c>
    </row>
    <row r="28" customFormat="false" ht="15" hidden="false" customHeight="false" outlineLevel="0" collapsed="false">
      <c r="B28" s="0" t="s">
        <v>134</v>
      </c>
      <c r="C28" s="0" t="s">
        <v>10</v>
      </c>
      <c r="D28" s="0" t="s">
        <v>28</v>
      </c>
      <c r="E28" s="0" t="n">
        <v>21</v>
      </c>
      <c r="F28" s="9" t="n">
        <v>44180</v>
      </c>
      <c r="G28" s="0" t="n">
        <v>75880</v>
      </c>
      <c r="H28" s="0" t="s">
        <v>15</v>
      </c>
      <c r="I28" s="0" t="str">
        <f aca="false">"IND"</f>
        <v>IND</v>
      </c>
      <c r="J28" s="0" t="n">
        <f aca="false">YEAR(India_staff[[#This Row],[Date Joined]])</f>
        <v>2020</v>
      </c>
      <c r="K28" s="0" t="n">
        <f aca="false">MONTH(India_staff[[#This Row],[Date Joined]])</f>
        <v>12</v>
      </c>
      <c r="L28" s="0" t="str">
        <f aca="false">TEXT(India_staff[[#This Row],[Date Joined]],"mmm")</f>
        <v>Dec</v>
      </c>
    </row>
    <row r="29" customFormat="false" ht="15" hidden="false" customHeight="false" outlineLevel="0" collapsed="false">
      <c r="B29" s="0" t="s">
        <v>135</v>
      </c>
      <c r="C29" s="0" t="s">
        <v>10</v>
      </c>
      <c r="D29" s="0" t="s">
        <v>19</v>
      </c>
      <c r="E29" s="0" t="n">
        <v>33</v>
      </c>
      <c r="F29" s="9" t="n">
        <v>44181</v>
      </c>
      <c r="G29" s="0" t="n">
        <v>59430</v>
      </c>
      <c r="H29" s="0" t="s">
        <v>15</v>
      </c>
      <c r="I29" s="0" t="str">
        <f aca="false">"IND"</f>
        <v>IND</v>
      </c>
      <c r="J29" s="0" t="n">
        <f aca="false">YEAR(India_staff[[#This Row],[Date Joined]])</f>
        <v>2020</v>
      </c>
      <c r="K29" s="0" t="n">
        <f aca="false">MONTH(India_staff[[#This Row],[Date Joined]])</f>
        <v>12</v>
      </c>
      <c r="L29" s="0" t="str">
        <f aca="false">TEXT(India_staff[[#This Row],[Date Joined]],"mmm")</f>
        <v>Dec</v>
      </c>
    </row>
    <row r="30" customFormat="false" ht="15" hidden="false" customHeight="false" outlineLevel="0" collapsed="false">
      <c r="B30" s="0" t="s">
        <v>136</v>
      </c>
      <c r="C30" s="0" t="s">
        <v>10</v>
      </c>
      <c r="D30" s="0" t="s">
        <v>14</v>
      </c>
      <c r="E30" s="0" t="n">
        <v>40</v>
      </c>
      <c r="F30" s="9" t="n">
        <v>44204</v>
      </c>
      <c r="G30" s="0" t="n">
        <v>99750</v>
      </c>
      <c r="H30" s="0" t="s">
        <v>15</v>
      </c>
      <c r="I30" s="0" t="str">
        <f aca="false">"IND"</f>
        <v>IND</v>
      </c>
      <c r="J30" s="0" t="n">
        <f aca="false">YEAR(India_staff[[#This Row],[Date Joined]])</f>
        <v>2021</v>
      </c>
      <c r="K30" s="0" t="n">
        <f aca="false">MONTH(India_staff[[#This Row],[Date Joined]])</f>
        <v>1</v>
      </c>
      <c r="L30" s="0" t="str">
        <f aca="false">TEXT(India_staff[[#This Row],[Date Joined]],"mmm")</f>
        <v>Jan</v>
      </c>
    </row>
    <row r="31" customFormat="false" ht="15" hidden="false" customHeight="false" outlineLevel="0" collapsed="false">
      <c r="B31" s="0" t="s">
        <v>137</v>
      </c>
      <c r="D31" s="0" t="s">
        <v>25</v>
      </c>
      <c r="E31" s="0" t="n">
        <v>27</v>
      </c>
      <c r="F31" s="9" t="n">
        <v>44212</v>
      </c>
      <c r="G31" s="0" t="n">
        <v>90700</v>
      </c>
      <c r="H31" s="0" t="s">
        <v>12</v>
      </c>
      <c r="I31" s="0" t="str">
        <f aca="false">"IND"</f>
        <v>IND</v>
      </c>
      <c r="J31" s="0" t="n">
        <f aca="false">YEAR(India_staff[[#This Row],[Date Joined]])</f>
        <v>2021</v>
      </c>
      <c r="K31" s="0" t="n">
        <f aca="false">MONTH(India_staff[[#This Row],[Date Joined]])</f>
        <v>1</v>
      </c>
      <c r="L31" s="0" t="str">
        <f aca="false">TEXT(India_staff[[#This Row],[Date Joined]],"mmm")</f>
        <v>Jan</v>
      </c>
    </row>
    <row r="32" customFormat="false" ht="15" hidden="false" customHeight="false" outlineLevel="0" collapsed="false">
      <c r="B32" s="0" t="s">
        <v>138</v>
      </c>
      <c r="C32" s="0" t="s">
        <v>10</v>
      </c>
      <c r="D32" s="0" t="s">
        <v>25</v>
      </c>
      <c r="E32" s="0" t="n">
        <v>30</v>
      </c>
      <c r="F32" s="9" t="n">
        <v>44214</v>
      </c>
      <c r="G32" s="0" t="n">
        <v>69120</v>
      </c>
      <c r="H32" s="0" t="s">
        <v>15</v>
      </c>
      <c r="I32" s="0" t="str">
        <f aca="false">"IND"</f>
        <v>IND</v>
      </c>
      <c r="J32" s="0" t="n">
        <f aca="false">YEAR(India_staff[[#This Row],[Date Joined]])</f>
        <v>2021</v>
      </c>
      <c r="K32" s="0" t="n">
        <f aca="false">MONTH(India_staff[[#This Row],[Date Joined]])</f>
        <v>1</v>
      </c>
      <c r="L32" s="0" t="str">
        <f aca="false">TEXT(India_staff[[#This Row],[Date Joined]],"mmm")</f>
        <v>Jan</v>
      </c>
    </row>
    <row r="33" customFormat="false" ht="15" hidden="false" customHeight="false" outlineLevel="0" collapsed="false">
      <c r="B33" s="0" t="s">
        <v>139</v>
      </c>
      <c r="C33" s="0" t="s">
        <v>10</v>
      </c>
      <c r="D33" s="0" t="s">
        <v>14</v>
      </c>
      <c r="E33" s="0" t="n">
        <v>19</v>
      </c>
      <c r="F33" s="9" t="n">
        <v>44218</v>
      </c>
      <c r="G33" s="0" t="n">
        <v>58960</v>
      </c>
      <c r="H33" s="0" t="s">
        <v>15</v>
      </c>
      <c r="I33" s="0" t="str">
        <f aca="false">"IND"</f>
        <v>IND</v>
      </c>
      <c r="J33" s="0" t="n">
        <f aca="false">YEAR(India_staff[[#This Row],[Date Joined]])</f>
        <v>2021</v>
      </c>
      <c r="K33" s="0" t="n">
        <f aca="false">MONTH(India_staff[[#This Row],[Date Joined]])</f>
        <v>1</v>
      </c>
      <c r="L33" s="0" t="str">
        <f aca="false">TEXT(India_staff[[#This Row],[Date Joined]],"mmm")</f>
        <v>Jan</v>
      </c>
    </row>
    <row r="34" customFormat="false" ht="15" hidden="false" customHeight="false" outlineLevel="0" collapsed="false">
      <c r="B34" s="0" t="s">
        <v>140</v>
      </c>
      <c r="C34" s="0" t="s">
        <v>17</v>
      </c>
      <c r="D34" s="0" t="s">
        <v>25</v>
      </c>
      <c r="E34" s="0" t="n">
        <v>33</v>
      </c>
      <c r="F34" s="9" t="n">
        <v>44253</v>
      </c>
      <c r="G34" s="0" t="n">
        <v>75280</v>
      </c>
      <c r="H34" s="0" t="s">
        <v>15</v>
      </c>
      <c r="I34" s="0" t="str">
        <f aca="false">"IND"</f>
        <v>IND</v>
      </c>
      <c r="J34" s="0" t="n">
        <f aca="false">YEAR(India_staff[[#This Row],[Date Joined]])</f>
        <v>2021</v>
      </c>
      <c r="K34" s="0" t="n">
        <f aca="false">MONTH(India_staff[[#This Row],[Date Joined]])</f>
        <v>2</v>
      </c>
      <c r="L34" s="0" t="str">
        <f aca="false">TEXT(India_staff[[#This Row],[Date Joined]],"mmm")</f>
        <v>Feb</v>
      </c>
    </row>
    <row r="35" customFormat="false" ht="15" hidden="false" customHeight="false" outlineLevel="0" collapsed="false">
      <c r="B35" s="0" t="s">
        <v>141</v>
      </c>
      <c r="C35" s="0" t="s">
        <v>17</v>
      </c>
      <c r="D35" s="0" t="s">
        <v>19</v>
      </c>
      <c r="E35" s="0" t="n">
        <v>21</v>
      </c>
      <c r="F35" s="9" t="n">
        <v>44256</v>
      </c>
      <c r="G35" s="0" t="n">
        <v>65920</v>
      </c>
      <c r="H35" s="0" t="s">
        <v>15</v>
      </c>
      <c r="I35" s="0" t="str">
        <f aca="false">"IND"</f>
        <v>IND</v>
      </c>
      <c r="J35" s="0" t="n">
        <f aca="false">YEAR(India_staff[[#This Row],[Date Joined]])</f>
        <v>2021</v>
      </c>
      <c r="K35" s="0" t="n">
        <f aca="false">MONTH(India_staff[[#This Row],[Date Joined]])</f>
        <v>3</v>
      </c>
      <c r="L35" s="0" t="str">
        <f aca="false">TEXT(India_staff[[#This Row],[Date Joined]],"mmm")</f>
        <v>Mar</v>
      </c>
    </row>
    <row r="36" customFormat="false" ht="15" hidden="false" customHeight="false" outlineLevel="0" collapsed="false">
      <c r="B36" s="0" t="s">
        <v>142</v>
      </c>
      <c r="C36" s="0" t="s">
        <v>17</v>
      </c>
      <c r="D36" s="0" t="s">
        <v>11</v>
      </c>
      <c r="E36" s="0" t="n">
        <v>38</v>
      </c>
      <c r="F36" s="9" t="n">
        <v>44268</v>
      </c>
      <c r="G36" s="0" t="n">
        <v>56870</v>
      </c>
      <c r="H36" s="0" t="s">
        <v>12</v>
      </c>
      <c r="I36" s="0" t="str">
        <f aca="false">"IND"</f>
        <v>IND</v>
      </c>
      <c r="J36" s="0" t="n">
        <f aca="false">YEAR(India_staff[[#This Row],[Date Joined]])</f>
        <v>2021</v>
      </c>
      <c r="K36" s="0" t="n">
        <f aca="false">MONTH(India_staff[[#This Row],[Date Joined]])</f>
        <v>3</v>
      </c>
      <c r="L36" s="0" t="str">
        <f aca="false">TEXT(India_staff[[#This Row],[Date Joined]],"mmm")</f>
        <v>Mar</v>
      </c>
    </row>
    <row r="37" customFormat="false" ht="15" hidden="false" customHeight="false" outlineLevel="0" collapsed="false">
      <c r="B37" s="0" t="s">
        <v>142</v>
      </c>
      <c r="C37" s="0" t="s">
        <v>17</v>
      </c>
      <c r="D37" s="0" t="s">
        <v>11</v>
      </c>
      <c r="E37" s="0" t="n">
        <v>38</v>
      </c>
      <c r="F37" s="9" t="n">
        <v>44268</v>
      </c>
      <c r="G37" s="0" t="n">
        <v>56870</v>
      </c>
      <c r="H37" s="0" t="s">
        <v>12</v>
      </c>
      <c r="I37" s="0" t="str">
        <f aca="false">"IND"</f>
        <v>IND</v>
      </c>
      <c r="J37" s="0" t="n">
        <f aca="false">YEAR(India_staff[[#This Row],[Date Joined]])</f>
        <v>2021</v>
      </c>
      <c r="K37" s="0" t="n">
        <f aca="false">MONTH(India_staff[[#This Row],[Date Joined]])</f>
        <v>3</v>
      </c>
      <c r="L37" s="0" t="str">
        <f aca="false">TEXT(India_staff[[#This Row],[Date Joined]],"mmm")</f>
        <v>Mar</v>
      </c>
    </row>
    <row r="38" customFormat="false" ht="15" hidden="false" customHeight="false" outlineLevel="0" collapsed="false">
      <c r="B38" s="0" t="s">
        <v>143</v>
      </c>
      <c r="C38" s="0" t="s">
        <v>10</v>
      </c>
      <c r="D38" s="0" t="s">
        <v>19</v>
      </c>
      <c r="E38" s="0" t="n">
        <v>36</v>
      </c>
      <c r="F38" s="9" t="n">
        <v>44272</v>
      </c>
      <c r="G38" s="0" t="n">
        <v>71380</v>
      </c>
      <c r="H38" s="0" t="s">
        <v>15</v>
      </c>
      <c r="I38" s="0" t="str">
        <f aca="false">"IND"</f>
        <v>IND</v>
      </c>
      <c r="J38" s="0" t="n">
        <f aca="false">YEAR(India_staff[[#This Row],[Date Joined]])</f>
        <v>2021</v>
      </c>
      <c r="K38" s="0" t="n">
        <f aca="false">MONTH(India_staff[[#This Row],[Date Joined]])</f>
        <v>3</v>
      </c>
      <c r="L38" s="0" t="str">
        <f aca="false">TEXT(India_staff[[#This Row],[Date Joined]],"mmm")</f>
        <v>Mar</v>
      </c>
    </row>
    <row r="39" customFormat="false" ht="15" hidden="false" customHeight="false" outlineLevel="0" collapsed="false">
      <c r="B39" s="0" t="s">
        <v>144</v>
      </c>
      <c r="C39" s="0" t="s">
        <v>17</v>
      </c>
      <c r="D39" s="0" t="s">
        <v>25</v>
      </c>
      <c r="E39" s="0" t="n">
        <v>40</v>
      </c>
      <c r="F39" s="9" t="n">
        <v>44276</v>
      </c>
      <c r="G39" s="0" t="n">
        <v>87620</v>
      </c>
      <c r="H39" s="0" t="s">
        <v>15</v>
      </c>
      <c r="I39" s="0" t="str">
        <f aca="false">"IND"</f>
        <v>IND</v>
      </c>
      <c r="J39" s="0" t="n">
        <f aca="false">YEAR(India_staff[[#This Row],[Date Joined]])</f>
        <v>2021</v>
      </c>
      <c r="K39" s="0" t="n">
        <f aca="false">MONTH(India_staff[[#This Row],[Date Joined]])</f>
        <v>3</v>
      </c>
      <c r="L39" s="0" t="str">
        <f aca="false">TEXT(India_staff[[#This Row],[Date Joined]],"mmm")</f>
        <v>Mar</v>
      </c>
    </row>
    <row r="40" customFormat="false" ht="15" hidden="false" customHeight="false" outlineLevel="0" collapsed="false">
      <c r="B40" s="0" t="s">
        <v>145</v>
      </c>
      <c r="C40" s="0" t="s">
        <v>10</v>
      </c>
      <c r="D40" s="0" t="s">
        <v>25</v>
      </c>
      <c r="E40" s="0" t="n">
        <v>37</v>
      </c>
      <c r="F40" s="9" t="n">
        <v>44277</v>
      </c>
      <c r="G40" s="0" t="n">
        <v>88050</v>
      </c>
      <c r="H40" s="0" t="s">
        <v>20</v>
      </c>
      <c r="I40" s="0" t="str">
        <f aca="false">"IND"</f>
        <v>IND</v>
      </c>
      <c r="J40" s="0" t="n">
        <f aca="false">YEAR(India_staff[[#This Row],[Date Joined]])</f>
        <v>2021</v>
      </c>
      <c r="K40" s="0" t="n">
        <f aca="false">MONTH(India_staff[[#This Row],[Date Joined]])</f>
        <v>3</v>
      </c>
      <c r="L40" s="0" t="str">
        <f aca="false">TEXT(India_staff[[#This Row],[Date Joined]],"mmm")</f>
        <v>Mar</v>
      </c>
    </row>
    <row r="41" customFormat="false" ht="15" hidden="false" customHeight="false" outlineLevel="0" collapsed="false">
      <c r="B41" s="0" t="s">
        <v>146</v>
      </c>
      <c r="C41" s="0" t="s">
        <v>17</v>
      </c>
      <c r="D41" s="0" t="s">
        <v>25</v>
      </c>
      <c r="E41" s="0" t="n">
        <v>32</v>
      </c>
      <c r="F41" s="9" t="n">
        <v>44293</v>
      </c>
      <c r="G41" s="0" t="n">
        <v>43840</v>
      </c>
      <c r="H41" s="0" t="s">
        <v>12</v>
      </c>
      <c r="I41" s="0" t="str">
        <f aca="false">"IND"</f>
        <v>IND</v>
      </c>
      <c r="J41" s="0" t="n">
        <f aca="false">YEAR(India_staff[[#This Row],[Date Joined]])</f>
        <v>2021</v>
      </c>
      <c r="K41" s="0" t="n">
        <f aca="false">MONTH(India_staff[[#This Row],[Date Joined]])</f>
        <v>4</v>
      </c>
      <c r="L41" s="0" t="str">
        <f aca="false">TEXT(India_staff[[#This Row],[Date Joined]],"mmm")</f>
        <v>Apr</v>
      </c>
    </row>
    <row r="42" customFormat="false" ht="15" hidden="false" customHeight="false" outlineLevel="0" collapsed="false">
      <c r="B42" s="0" t="s">
        <v>146</v>
      </c>
      <c r="C42" s="0" t="s">
        <v>17</v>
      </c>
      <c r="D42" s="0" t="s">
        <v>25</v>
      </c>
      <c r="E42" s="0" t="n">
        <v>32</v>
      </c>
      <c r="F42" s="9" t="n">
        <v>44293</v>
      </c>
      <c r="G42" s="0" t="n">
        <v>43840</v>
      </c>
      <c r="H42" s="0" t="s">
        <v>12</v>
      </c>
      <c r="I42" s="0" t="str">
        <f aca="false">"IND"</f>
        <v>IND</v>
      </c>
      <c r="J42" s="0" t="n">
        <f aca="false">YEAR(India_staff[[#This Row],[Date Joined]])</f>
        <v>2021</v>
      </c>
      <c r="K42" s="0" t="n">
        <f aca="false">MONTH(India_staff[[#This Row],[Date Joined]])</f>
        <v>4</v>
      </c>
      <c r="L42" s="0" t="str">
        <f aca="false">TEXT(India_staff[[#This Row],[Date Joined]],"mmm")</f>
        <v>Apr</v>
      </c>
    </row>
    <row r="43" customFormat="false" ht="15" hidden="false" customHeight="false" outlineLevel="0" collapsed="false">
      <c r="B43" s="0" t="s">
        <v>147</v>
      </c>
      <c r="C43" s="0" t="s">
        <v>17</v>
      </c>
      <c r="D43" s="0" t="s">
        <v>11</v>
      </c>
      <c r="E43" s="0" t="n">
        <v>28</v>
      </c>
      <c r="F43" s="9" t="n">
        <v>44296</v>
      </c>
      <c r="G43" s="0" t="n">
        <v>53240</v>
      </c>
      <c r="H43" s="0" t="s">
        <v>15</v>
      </c>
      <c r="I43" s="0" t="str">
        <f aca="false">"IND"</f>
        <v>IND</v>
      </c>
      <c r="J43" s="0" t="n">
        <f aca="false">YEAR(India_staff[[#This Row],[Date Joined]])</f>
        <v>2021</v>
      </c>
      <c r="K43" s="0" t="n">
        <f aca="false">MONTH(India_staff[[#This Row],[Date Joined]])</f>
        <v>4</v>
      </c>
      <c r="L43" s="0" t="str">
        <f aca="false">TEXT(India_staff[[#This Row],[Date Joined]],"mmm")</f>
        <v>Apr</v>
      </c>
    </row>
    <row r="44" customFormat="false" ht="15" hidden="false" customHeight="false" outlineLevel="0" collapsed="false">
      <c r="B44" s="0" t="s">
        <v>148</v>
      </c>
      <c r="C44" s="0" t="s">
        <v>17</v>
      </c>
      <c r="D44" s="0" t="s">
        <v>25</v>
      </c>
      <c r="E44" s="0" t="n">
        <v>33</v>
      </c>
      <c r="F44" s="9" t="n">
        <v>44313</v>
      </c>
      <c r="G44" s="0" t="n">
        <v>75480</v>
      </c>
      <c r="H44" s="0" t="s">
        <v>51</v>
      </c>
      <c r="I44" s="0" t="str">
        <f aca="false">"IND"</f>
        <v>IND</v>
      </c>
      <c r="J44" s="0" t="n">
        <f aca="false">YEAR(India_staff[[#This Row],[Date Joined]])</f>
        <v>2021</v>
      </c>
      <c r="K44" s="0" t="n">
        <f aca="false">MONTH(India_staff[[#This Row],[Date Joined]])</f>
        <v>4</v>
      </c>
      <c r="L44" s="0" t="str">
        <f aca="false">TEXT(India_staff[[#This Row],[Date Joined]],"mmm")</f>
        <v>Apr</v>
      </c>
    </row>
    <row r="45" customFormat="false" ht="15" hidden="false" customHeight="false" outlineLevel="0" collapsed="false">
      <c r="B45" s="0" t="s">
        <v>149</v>
      </c>
      <c r="C45" s="0" t="s">
        <v>17</v>
      </c>
      <c r="D45" s="0" t="s">
        <v>11</v>
      </c>
      <c r="E45" s="0" t="n">
        <v>38</v>
      </c>
      <c r="F45" s="9" t="n">
        <v>44316</v>
      </c>
      <c r="G45" s="0" t="n">
        <v>109160</v>
      </c>
      <c r="H45" s="0" t="s">
        <v>45</v>
      </c>
      <c r="I45" s="0" t="str">
        <f aca="false">"IND"</f>
        <v>IND</v>
      </c>
      <c r="J45" s="0" t="n">
        <f aca="false">YEAR(India_staff[[#This Row],[Date Joined]])</f>
        <v>2021</v>
      </c>
      <c r="K45" s="0" t="n">
        <f aca="false">MONTH(India_staff[[#This Row],[Date Joined]])</f>
        <v>4</v>
      </c>
      <c r="L45" s="0" t="str">
        <f aca="false">TEXT(India_staff[[#This Row],[Date Joined]],"mmm")</f>
        <v>Apr</v>
      </c>
    </row>
    <row r="46" customFormat="false" ht="15" hidden="false" customHeight="false" outlineLevel="0" collapsed="false">
      <c r="B46" s="0" t="s">
        <v>150</v>
      </c>
      <c r="C46" s="0" t="s">
        <v>17</v>
      </c>
      <c r="D46" s="0" t="s">
        <v>25</v>
      </c>
      <c r="E46" s="0" t="n">
        <v>40</v>
      </c>
      <c r="F46" s="9" t="n">
        <v>44320</v>
      </c>
      <c r="G46" s="0" t="n">
        <v>104410</v>
      </c>
      <c r="H46" s="0" t="s">
        <v>15</v>
      </c>
      <c r="I46" s="0" t="str">
        <f aca="false">"IND"</f>
        <v>IND</v>
      </c>
      <c r="J46" s="0" t="n">
        <f aca="false">YEAR(India_staff[[#This Row],[Date Joined]])</f>
        <v>2021</v>
      </c>
      <c r="K46" s="0" t="n">
        <f aca="false">MONTH(India_staff[[#This Row],[Date Joined]])</f>
        <v>5</v>
      </c>
      <c r="L46" s="0" t="str">
        <f aca="false">TEXT(India_staff[[#This Row],[Date Joined]],"mmm")</f>
        <v>May</v>
      </c>
    </row>
    <row r="47" customFormat="false" ht="15" hidden="false" customHeight="false" outlineLevel="0" collapsed="false">
      <c r="B47" s="0" t="s">
        <v>150</v>
      </c>
      <c r="C47" s="0" t="s">
        <v>17</v>
      </c>
      <c r="D47" s="0" t="s">
        <v>25</v>
      </c>
      <c r="E47" s="0" t="n">
        <v>40</v>
      </c>
      <c r="F47" s="9" t="n">
        <v>44320</v>
      </c>
      <c r="G47" s="0" t="n">
        <v>104410</v>
      </c>
      <c r="H47" s="0" t="s">
        <v>15</v>
      </c>
      <c r="I47" s="0" t="str">
        <f aca="false">"IND"</f>
        <v>IND</v>
      </c>
      <c r="J47" s="0" t="n">
        <f aca="false">YEAR(India_staff[[#This Row],[Date Joined]])</f>
        <v>2021</v>
      </c>
      <c r="K47" s="0" t="n">
        <f aca="false">MONTH(India_staff[[#This Row],[Date Joined]])</f>
        <v>5</v>
      </c>
      <c r="L47" s="0" t="str">
        <f aca="false">TEXT(India_staff[[#This Row],[Date Joined]],"mmm")</f>
        <v>May</v>
      </c>
    </row>
    <row r="48" customFormat="false" ht="15" hidden="false" customHeight="false" outlineLevel="0" collapsed="false">
      <c r="B48" s="0" t="s">
        <v>151</v>
      </c>
      <c r="C48" s="0" t="s">
        <v>10</v>
      </c>
      <c r="D48" s="0" t="s">
        <v>11</v>
      </c>
      <c r="E48" s="0" t="n">
        <v>25</v>
      </c>
      <c r="F48" s="9" t="n">
        <v>44322</v>
      </c>
      <c r="G48" s="0" t="n">
        <v>65700</v>
      </c>
      <c r="H48" s="0" t="s">
        <v>15</v>
      </c>
      <c r="I48" s="0" t="str">
        <f aca="false">"IND"</f>
        <v>IND</v>
      </c>
      <c r="J48" s="0" t="n">
        <f aca="false">YEAR(India_staff[[#This Row],[Date Joined]])</f>
        <v>2021</v>
      </c>
      <c r="K48" s="0" t="n">
        <f aca="false">MONTH(India_staff[[#This Row],[Date Joined]])</f>
        <v>5</v>
      </c>
      <c r="L48" s="0" t="str">
        <f aca="false">TEXT(India_staff[[#This Row],[Date Joined]],"mmm")</f>
        <v>May</v>
      </c>
    </row>
    <row r="49" customFormat="false" ht="15" hidden="false" customHeight="false" outlineLevel="0" collapsed="false">
      <c r="B49" s="0" t="s">
        <v>152</v>
      </c>
      <c r="C49" s="0" t="s">
        <v>10</v>
      </c>
      <c r="D49" s="0" t="s">
        <v>11</v>
      </c>
      <c r="E49" s="0" t="n">
        <v>33</v>
      </c>
      <c r="F49" s="9" t="n">
        <v>44324</v>
      </c>
      <c r="G49" s="0" t="n">
        <v>74550</v>
      </c>
      <c r="H49" s="0" t="s">
        <v>15</v>
      </c>
      <c r="I49" s="0" t="str">
        <f aca="false">"IND"</f>
        <v>IND</v>
      </c>
      <c r="J49" s="0" t="n">
        <f aca="false">YEAR(India_staff[[#This Row],[Date Joined]])</f>
        <v>2021</v>
      </c>
      <c r="K49" s="0" t="n">
        <f aca="false">MONTH(India_staff[[#This Row],[Date Joined]])</f>
        <v>5</v>
      </c>
      <c r="L49" s="0" t="str">
        <f aca="false">TEXT(India_staff[[#This Row],[Date Joined]],"mmm")</f>
        <v>May</v>
      </c>
    </row>
    <row r="50" customFormat="false" ht="15" hidden="false" customHeight="false" outlineLevel="0" collapsed="false">
      <c r="B50" s="0" t="s">
        <v>152</v>
      </c>
      <c r="C50" s="0" t="s">
        <v>10</v>
      </c>
      <c r="D50" s="0" t="s">
        <v>11</v>
      </c>
      <c r="E50" s="0" t="n">
        <v>33</v>
      </c>
      <c r="F50" s="9" t="n">
        <v>44324</v>
      </c>
      <c r="G50" s="0" t="n">
        <v>74550</v>
      </c>
      <c r="H50" s="0" t="s">
        <v>15</v>
      </c>
      <c r="I50" s="0" t="str">
        <f aca="false">"IND"</f>
        <v>IND</v>
      </c>
      <c r="J50" s="0" t="n">
        <f aca="false">YEAR(India_staff[[#This Row],[Date Joined]])</f>
        <v>2021</v>
      </c>
      <c r="K50" s="0" t="n">
        <f aca="false">MONTH(India_staff[[#This Row],[Date Joined]])</f>
        <v>5</v>
      </c>
      <c r="L50" s="0" t="str">
        <f aca="false">TEXT(India_staff[[#This Row],[Date Joined]],"mmm")</f>
        <v>May</v>
      </c>
    </row>
    <row r="51" customFormat="false" ht="15" hidden="false" customHeight="false" outlineLevel="0" collapsed="false">
      <c r="B51" s="0" t="s">
        <v>153</v>
      </c>
      <c r="C51" s="0" t="s">
        <v>17</v>
      </c>
      <c r="D51" s="0" t="s">
        <v>19</v>
      </c>
      <c r="E51" s="0" t="n">
        <v>30</v>
      </c>
      <c r="F51" s="9" t="n">
        <v>44328</v>
      </c>
      <c r="G51" s="0" t="n">
        <v>67910</v>
      </c>
      <c r="H51" s="0" t="s">
        <v>20</v>
      </c>
      <c r="I51" s="0" t="str">
        <f aca="false">"IND"</f>
        <v>IND</v>
      </c>
      <c r="J51" s="0" t="n">
        <f aca="false">YEAR(India_staff[[#This Row],[Date Joined]])</f>
        <v>2021</v>
      </c>
      <c r="K51" s="0" t="n">
        <f aca="false">MONTH(India_staff[[#This Row],[Date Joined]])</f>
        <v>5</v>
      </c>
      <c r="L51" s="0" t="str">
        <f aca="false">TEXT(India_staff[[#This Row],[Date Joined]],"mmm")</f>
        <v>May</v>
      </c>
    </row>
    <row r="52" customFormat="false" ht="15" hidden="false" customHeight="false" outlineLevel="0" collapsed="false">
      <c r="B52" s="0" t="s">
        <v>154</v>
      </c>
      <c r="C52" s="0" t="s">
        <v>17</v>
      </c>
      <c r="D52" s="0" t="s">
        <v>28</v>
      </c>
      <c r="E52" s="0" t="n">
        <v>32</v>
      </c>
      <c r="F52" s="9" t="n">
        <v>44339</v>
      </c>
      <c r="G52" s="0" t="n">
        <v>45510</v>
      </c>
      <c r="H52" s="0" t="s">
        <v>15</v>
      </c>
      <c r="I52" s="0" t="str">
        <f aca="false">"IND"</f>
        <v>IND</v>
      </c>
      <c r="J52" s="0" t="n">
        <f aca="false">YEAR(India_staff[[#This Row],[Date Joined]])</f>
        <v>2021</v>
      </c>
      <c r="K52" s="0" t="n">
        <f aca="false">MONTH(India_staff[[#This Row],[Date Joined]])</f>
        <v>5</v>
      </c>
      <c r="L52" s="0" t="str">
        <f aca="false">TEXT(India_staff[[#This Row],[Date Joined]],"mmm")</f>
        <v>May</v>
      </c>
    </row>
    <row r="53" customFormat="false" ht="15" hidden="false" customHeight="false" outlineLevel="0" collapsed="false">
      <c r="B53" s="0" t="s">
        <v>154</v>
      </c>
      <c r="C53" s="0" t="s">
        <v>17</v>
      </c>
      <c r="D53" s="0" t="s">
        <v>28</v>
      </c>
      <c r="E53" s="0" t="n">
        <v>32</v>
      </c>
      <c r="F53" s="9" t="n">
        <v>44339</v>
      </c>
      <c r="G53" s="0" t="n">
        <v>45510</v>
      </c>
      <c r="H53" s="0" t="s">
        <v>15</v>
      </c>
      <c r="I53" s="0" t="str">
        <f aca="false">"IND"</f>
        <v>IND</v>
      </c>
      <c r="J53" s="0" t="n">
        <f aca="false">YEAR(India_staff[[#This Row],[Date Joined]])</f>
        <v>2021</v>
      </c>
      <c r="K53" s="0" t="n">
        <f aca="false">MONTH(India_staff[[#This Row],[Date Joined]])</f>
        <v>5</v>
      </c>
      <c r="L53" s="0" t="str">
        <f aca="false">TEXT(India_staff[[#This Row],[Date Joined]],"mmm")</f>
        <v>May</v>
      </c>
    </row>
    <row r="54" customFormat="false" ht="15" hidden="false" customHeight="false" outlineLevel="0" collapsed="false">
      <c r="B54" s="0" t="s">
        <v>155</v>
      </c>
      <c r="C54" s="0" t="s">
        <v>10</v>
      </c>
      <c r="D54" s="0" t="s">
        <v>14</v>
      </c>
      <c r="E54" s="0" t="n">
        <v>26</v>
      </c>
      <c r="F54" s="9" t="n">
        <v>44350</v>
      </c>
      <c r="G54" s="0" t="n">
        <v>53540</v>
      </c>
      <c r="H54" s="0" t="s">
        <v>15</v>
      </c>
      <c r="I54" s="0" t="str">
        <f aca="false">"IND"</f>
        <v>IND</v>
      </c>
      <c r="J54" s="0" t="n">
        <f aca="false">YEAR(India_staff[[#This Row],[Date Joined]])</f>
        <v>2021</v>
      </c>
      <c r="K54" s="0" t="n">
        <f aca="false">MONTH(India_staff[[#This Row],[Date Joined]])</f>
        <v>6</v>
      </c>
      <c r="L54" s="0" t="str">
        <f aca="false">TEXT(India_staff[[#This Row],[Date Joined]],"mmm")</f>
        <v>Jun</v>
      </c>
    </row>
    <row r="55" customFormat="false" ht="15" hidden="false" customHeight="false" outlineLevel="0" collapsed="false">
      <c r="B55" s="0" t="s">
        <v>156</v>
      </c>
      <c r="C55" s="0" t="s">
        <v>10</v>
      </c>
      <c r="D55" s="0" t="s">
        <v>19</v>
      </c>
      <c r="E55" s="0" t="n">
        <v>24</v>
      </c>
      <c r="F55" s="9" t="n">
        <v>44375</v>
      </c>
      <c r="G55" s="0" t="n">
        <v>52610</v>
      </c>
      <c r="H55" s="0" t="s">
        <v>20</v>
      </c>
      <c r="I55" s="0" t="str">
        <f aca="false">"IND"</f>
        <v>IND</v>
      </c>
      <c r="J55" s="0" t="n">
        <f aca="false">YEAR(India_staff[[#This Row],[Date Joined]])</f>
        <v>2021</v>
      </c>
      <c r="K55" s="0" t="n">
        <f aca="false">MONTH(India_staff[[#This Row],[Date Joined]])</f>
        <v>6</v>
      </c>
      <c r="L55" s="0" t="str">
        <f aca="false">TEXT(India_staff[[#This Row],[Date Joined]],"mmm")</f>
        <v>Jun</v>
      </c>
    </row>
    <row r="56" customFormat="false" ht="15" hidden="false" customHeight="false" outlineLevel="0" collapsed="false">
      <c r="B56" s="0" t="s">
        <v>157</v>
      </c>
      <c r="C56" s="0" t="s">
        <v>10</v>
      </c>
      <c r="D56" s="0" t="s">
        <v>14</v>
      </c>
      <c r="E56" s="0" t="n">
        <v>23</v>
      </c>
      <c r="F56" s="9" t="n">
        <v>44378</v>
      </c>
      <c r="G56" s="0" t="n">
        <v>106460</v>
      </c>
      <c r="H56" s="0" t="s">
        <v>15</v>
      </c>
      <c r="I56" s="0" t="str">
        <f aca="false">"IND"</f>
        <v>IND</v>
      </c>
      <c r="J56" s="0" t="n">
        <f aca="false">YEAR(India_staff[[#This Row],[Date Joined]])</f>
        <v>2021</v>
      </c>
      <c r="K56" s="0" t="n">
        <f aca="false">MONTH(India_staff[[#This Row],[Date Joined]])</f>
        <v>7</v>
      </c>
      <c r="L56" s="0" t="str">
        <f aca="false">TEXT(India_staff[[#This Row],[Date Joined]],"mmm")</f>
        <v>Jul</v>
      </c>
    </row>
    <row r="57" customFormat="false" ht="15" hidden="false" customHeight="false" outlineLevel="0" collapsed="false">
      <c r="B57" s="0" t="s">
        <v>158</v>
      </c>
      <c r="C57" s="0" t="s">
        <v>17</v>
      </c>
      <c r="D57" s="0" t="s">
        <v>19</v>
      </c>
      <c r="E57" s="0" t="n">
        <v>34</v>
      </c>
      <c r="F57" s="9" t="n">
        <v>44383</v>
      </c>
      <c r="G57" s="0" t="n">
        <v>92450</v>
      </c>
      <c r="H57" s="0" t="s">
        <v>15</v>
      </c>
      <c r="I57" s="0" t="str">
        <f aca="false">"IND"</f>
        <v>IND</v>
      </c>
      <c r="J57" s="0" t="n">
        <f aca="false">YEAR(India_staff[[#This Row],[Date Joined]])</f>
        <v>2021</v>
      </c>
      <c r="K57" s="0" t="n">
        <f aca="false">MONTH(India_staff[[#This Row],[Date Joined]])</f>
        <v>7</v>
      </c>
      <c r="L57" s="0" t="str">
        <f aca="false">TEXT(India_staff[[#This Row],[Date Joined]],"mmm")</f>
        <v>Jul</v>
      </c>
    </row>
    <row r="58" customFormat="false" ht="15" hidden="false" customHeight="false" outlineLevel="0" collapsed="false">
      <c r="B58" s="0" t="s">
        <v>159</v>
      </c>
      <c r="C58" s="0" t="s">
        <v>10</v>
      </c>
      <c r="D58" s="0" t="s">
        <v>11</v>
      </c>
      <c r="E58" s="0" t="n">
        <v>22</v>
      </c>
      <c r="F58" s="9" t="n">
        <v>44384</v>
      </c>
      <c r="G58" s="0" t="n">
        <v>112780</v>
      </c>
      <c r="H58" s="0" t="s">
        <v>12</v>
      </c>
      <c r="I58" s="0" t="str">
        <f aca="false">"IND"</f>
        <v>IND</v>
      </c>
      <c r="J58" s="0" t="n">
        <f aca="false">YEAR(India_staff[[#This Row],[Date Joined]])</f>
        <v>2021</v>
      </c>
      <c r="K58" s="0" t="n">
        <f aca="false">MONTH(India_staff[[#This Row],[Date Joined]])</f>
        <v>7</v>
      </c>
      <c r="L58" s="0" t="str">
        <f aca="false">TEXT(India_staff[[#This Row],[Date Joined]],"mmm")</f>
        <v>Jul</v>
      </c>
    </row>
    <row r="59" customFormat="false" ht="15" hidden="false" customHeight="false" outlineLevel="0" collapsed="false">
      <c r="B59" s="0" t="s">
        <v>160</v>
      </c>
      <c r="C59" s="0" t="s">
        <v>17</v>
      </c>
      <c r="D59" s="0" t="s">
        <v>14</v>
      </c>
      <c r="E59" s="0" t="n">
        <v>22</v>
      </c>
      <c r="F59" s="9" t="n">
        <v>44388</v>
      </c>
      <c r="G59" s="0" t="n">
        <v>76900</v>
      </c>
      <c r="H59" s="0" t="s">
        <v>12</v>
      </c>
      <c r="I59" s="0" t="str">
        <f aca="false">"IND"</f>
        <v>IND</v>
      </c>
      <c r="J59" s="0" t="n">
        <f aca="false">YEAR(India_staff[[#This Row],[Date Joined]])</f>
        <v>2021</v>
      </c>
      <c r="K59" s="0" t="n">
        <f aca="false">MONTH(India_staff[[#This Row],[Date Joined]])</f>
        <v>7</v>
      </c>
      <c r="L59" s="0" t="str">
        <f aca="false">TEXT(India_staff[[#This Row],[Date Joined]],"mmm")</f>
        <v>Jul</v>
      </c>
    </row>
    <row r="60" customFormat="false" ht="15" hidden="false" customHeight="false" outlineLevel="0" collapsed="false">
      <c r="B60" s="0" t="s">
        <v>160</v>
      </c>
      <c r="C60" s="0" t="s">
        <v>17</v>
      </c>
      <c r="D60" s="0" t="s">
        <v>14</v>
      </c>
      <c r="E60" s="0" t="n">
        <v>22</v>
      </c>
      <c r="F60" s="9" t="n">
        <v>44388</v>
      </c>
      <c r="G60" s="0" t="n">
        <v>76900</v>
      </c>
      <c r="H60" s="0" t="s">
        <v>12</v>
      </c>
      <c r="I60" s="0" t="str">
        <f aca="false">"IND"</f>
        <v>IND</v>
      </c>
      <c r="J60" s="0" t="n">
        <f aca="false">YEAR(India_staff[[#This Row],[Date Joined]])</f>
        <v>2021</v>
      </c>
      <c r="K60" s="0" t="n">
        <f aca="false">MONTH(India_staff[[#This Row],[Date Joined]])</f>
        <v>7</v>
      </c>
      <c r="L60" s="0" t="str">
        <f aca="false">TEXT(India_staff[[#This Row],[Date Joined]],"mmm")</f>
        <v>Jul</v>
      </c>
    </row>
    <row r="61" customFormat="false" ht="15" hidden="false" customHeight="false" outlineLevel="0" collapsed="false">
      <c r="B61" s="0" t="s">
        <v>161</v>
      </c>
      <c r="C61" s="0" t="s">
        <v>17</v>
      </c>
      <c r="D61" s="0" t="s">
        <v>28</v>
      </c>
      <c r="E61" s="0" t="n">
        <v>37</v>
      </c>
      <c r="F61" s="9" t="n">
        <v>44389</v>
      </c>
      <c r="G61" s="0" t="n">
        <v>118100</v>
      </c>
      <c r="H61" s="0" t="s">
        <v>15</v>
      </c>
      <c r="I61" s="0" t="str">
        <f aca="false">"IND"</f>
        <v>IND</v>
      </c>
      <c r="J61" s="0" t="n">
        <f aca="false">YEAR(India_staff[[#This Row],[Date Joined]])</f>
        <v>2021</v>
      </c>
      <c r="K61" s="0" t="n">
        <f aca="false">MONTH(India_staff[[#This Row],[Date Joined]])</f>
        <v>7</v>
      </c>
      <c r="L61" s="0" t="str">
        <f aca="false">TEXT(India_staff[[#This Row],[Date Joined]],"mmm")</f>
        <v>Jul</v>
      </c>
    </row>
    <row r="62" customFormat="false" ht="15" hidden="false" customHeight="false" outlineLevel="0" collapsed="false">
      <c r="B62" s="0" t="s">
        <v>162</v>
      </c>
      <c r="C62" s="0" t="s">
        <v>17</v>
      </c>
      <c r="D62" s="0" t="s">
        <v>19</v>
      </c>
      <c r="E62" s="0" t="n">
        <v>34</v>
      </c>
      <c r="F62" s="9" t="n">
        <v>44397</v>
      </c>
      <c r="G62" s="0" t="n">
        <v>85000</v>
      </c>
      <c r="H62" s="0" t="s">
        <v>15</v>
      </c>
      <c r="I62" s="0" t="str">
        <f aca="false">"IND"</f>
        <v>IND</v>
      </c>
      <c r="J62" s="0" t="n">
        <f aca="false">YEAR(India_staff[[#This Row],[Date Joined]])</f>
        <v>2021</v>
      </c>
      <c r="K62" s="0" t="n">
        <f aca="false">MONTH(India_staff[[#This Row],[Date Joined]])</f>
        <v>7</v>
      </c>
      <c r="L62" s="0" t="str">
        <f aca="false">TEXT(India_staff[[#This Row],[Date Joined]],"mmm")</f>
        <v>Jul</v>
      </c>
    </row>
    <row r="63" customFormat="false" ht="15" hidden="false" customHeight="false" outlineLevel="0" collapsed="false">
      <c r="B63" s="0" t="s">
        <v>163</v>
      </c>
      <c r="C63" s="0" t="s">
        <v>10</v>
      </c>
      <c r="D63" s="0" t="s">
        <v>25</v>
      </c>
      <c r="E63" s="0" t="n">
        <v>20</v>
      </c>
      <c r="F63" s="9" t="n">
        <v>44397</v>
      </c>
      <c r="G63" s="0" t="n">
        <v>107700</v>
      </c>
      <c r="H63" s="0" t="s">
        <v>15</v>
      </c>
      <c r="I63" s="0" t="str">
        <f aca="false">"IND"</f>
        <v>IND</v>
      </c>
      <c r="J63" s="0" t="n">
        <f aca="false">YEAR(India_staff[[#This Row],[Date Joined]])</f>
        <v>2021</v>
      </c>
      <c r="K63" s="0" t="n">
        <f aca="false">MONTH(India_staff[[#This Row],[Date Joined]])</f>
        <v>7</v>
      </c>
      <c r="L63" s="0" t="str">
        <f aca="false">TEXT(India_staff[[#This Row],[Date Joined]],"mmm")</f>
        <v>Jul</v>
      </c>
    </row>
    <row r="64" customFormat="false" ht="15" hidden="false" customHeight="false" outlineLevel="0" collapsed="false">
      <c r="B64" s="0" t="s">
        <v>164</v>
      </c>
      <c r="C64" s="0" t="s">
        <v>10</v>
      </c>
      <c r="D64" s="0" t="s">
        <v>11</v>
      </c>
      <c r="E64" s="0" t="n">
        <v>32</v>
      </c>
      <c r="F64" s="9" t="n">
        <v>44403</v>
      </c>
      <c r="G64" s="0" t="n">
        <v>53540</v>
      </c>
      <c r="H64" s="0" t="s">
        <v>15</v>
      </c>
      <c r="I64" s="0" t="str">
        <f aca="false">"IND"</f>
        <v>IND</v>
      </c>
      <c r="J64" s="0" t="n">
        <f aca="false">YEAR(India_staff[[#This Row],[Date Joined]])</f>
        <v>2021</v>
      </c>
      <c r="K64" s="0" t="n">
        <f aca="false">MONTH(India_staff[[#This Row],[Date Joined]])</f>
        <v>7</v>
      </c>
      <c r="L64" s="0" t="str">
        <f aca="false">TEXT(India_staff[[#This Row],[Date Joined]],"mmm")</f>
        <v>Jul</v>
      </c>
    </row>
    <row r="65" customFormat="false" ht="15" hidden="false" customHeight="false" outlineLevel="0" collapsed="false">
      <c r="B65" s="0" t="s">
        <v>165</v>
      </c>
      <c r="C65" s="0" t="s">
        <v>17</v>
      </c>
      <c r="D65" s="0" t="s">
        <v>14</v>
      </c>
      <c r="E65" s="0" t="n">
        <v>28</v>
      </c>
      <c r="F65" s="9" t="n">
        <v>44425</v>
      </c>
      <c r="G65" s="0" t="n">
        <v>104770</v>
      </c>
      <c r="H65" s="0" t="s">
        <v>15</v>
      </c>
      <c r="I65" s="0" t="str">
        <f aca="false">"IND"</f>
        <v>IND</v>
      </c>
      <c r="J65" s="0" t="n">
        <f aca="false">YEAR(India_staff[[#This Row],[Date Joined]])</f>
        <v>2021</v>
      </c>
      <c r="K65" s="0" t="n">
        <f aca="false">MONTH(India_staff[[#This Row],[Date Joined]])</f>
        <v>8</v>
      </c>
      <c r="L65" s="0" t="str">
        <f aca="false">TEXT(India_staff[[#This Row],[Date Joined]],"mmm")</f>
        <v>Aug</v>
      </c>
    </row>
    <row r="66" customFormat="false" ht="15" hidden="false" customHeight="false" outlineLevel="0" collapsed="false">
      <c r="B66" s="0" t="s">
        <v>166</v>
      </c>
      <c r="C66" s="0" t="s">
        <v>17</v>
      </c>
      <c r="D66" s="0" t="s">
        <v>11</v>
      </c>
      <c r="E66" s="0" t="n">
        <v>36</v>
      </c>
      <c r="F66" s="9" t="n">
        <v>44433</v>
      </c>
      <c r="G66" s="0" t="n">
        <v>78540</v>
      </c>
      <c r="H66" s="0" t="s">
        <v>15</v>
      </c>
      <c r="I66" s="0" t="str">
        <f aca="false">"IND"</f>
        <v>IND</v>
      </c>
      <c r="J66" s="0" t="n">
        <f aca="false">YEAR(India_staff[[#This Row],[Date Joined]])</f>
        <v>2021</v>
      </c>
      <c r="K66" s="0" t="n">
        <f aca="false">MONTH(India_staff[[#This Row],[Date Joined]])</f>
        <v>8</v>
      </c>
      <c r="L66" s="0" t="str">
        <f aca="false">TEXT(India_staff[[#This Row],[Date Joined]],"mmm")</f>
        <v>Aug</v>
      </c>
    </row>
    <row r="67" customFormat="false" ht="15" hidden="false" customHeight="false" outlineLevel="0" collapsed="false">
      <c r="B67" s="0" t="s">
        <v>167</v>
      </c>
      <c r="C67" s="0" t="s">
        <v>10</v>
      </c>
      <c r="D67" s="0" t="s">
        <v>25</v>
      </c>
      <c r="E67" s="0" t="n">
        <v>33</v>
      </c>
      <c r="F67" s="9" t="n">
        <v>44448</v>
      </c>
      <c r="G67" s="0" t="n">
        <v>53870</v>
      </c>
      <c r="H67" s="0" t="s">
        <v>15</v>
      </c>
      <c r="I67" s="0" t="str">
        <f aca="false">"IND"</f>
        <v>IND</v>
      </c>
      <c r="J67" s="0" t="n">
        <f aca="false">YEAR(India_staff[[#This Row],[Date Joined]])</f>
        <v>2021</v>
      </c>
      <c r="K67" s="0" t="n">
        <f aca="false">MONTH(India_staff[[#This Row],[Date Joined]])</f>
        <v>9</v>
      </c>
      <c r="L67" s="0" t="str">
        <f aca="false">TEXT(India_staff[[#This Row],[Date Joined]],"mmm")</f>
        <v>Sep</v>
      </c>
    </row>
    <row r="68" customFormat="false" ht="15" hidden="false" customHeight="false" outlineLevel="0" collapsed="false">
      <c r="B68" s="0" t="s">
        <v>168</v>
      </c>
      <c r="C68" s="0" t="s">
        <v>10</v>
      </c>
      <c r="D68" s="0" t="s">
        <v>25</v>
      </c>
      <c r="E68" s="0" t="n">
        <v>31</v>
      </c>
      <c r="F68" s="9" t="n">
        <v>44450</v>
      </c>
      <c r="G68" s="0" t="n">
        <v>48950</v>
      </c>
      <c r="H68" s="0" t="s">
        <v>15</v>
      </c>
      <c r="I68" s="0" t="str">
        <f aca="false">"IND"</f>
        <v>IND</v>
      </c>
      <c r="J68" s="0" t="n">
        <f aca="false">YEAR(India_staff[[#This Row],[Date Joined]])</f>
        <v>2021</v>
      </c>
      <c r="K68" s="0" t="n">
        <f aca="false">MONTH(India_staff[[#This Row],[Date Joined]])</f>
        <v>9</v>
      </c>
      <c r="L68" s="0" t="str">
        <f aca="false">TEXT(India_staff[[#This Row],[Date Joined]],"mmm")</f>
        <v>Sep</v>
      </c>
    </row>
    <row r="69" customFormat="false" ht="15" hidden="false" customHeight="false" outlineLevel="0" collapsed="false">
      <c r="B69" s="0" t="s">
        <v>169</v>
      </c>
      <c r="C69" s="0" t="s">
        <v>17</v>
      </c>
      <c r="D69" s="0" t="s">
        <v>14</v>
      </c>
      <c r="E69" s="0" t="n">
        <v>36</v>
      </c>
      <c r="F69" s="9" t="n">
        <v>44468</v>
      </c>
      <c r="G69" s="0" t="n">
        <v>78390</v>
      </c>
      <c r="H69" s="0" t="s">
        <v>15</v>
      </c>
      <c r="I69" s="0" t="str">
        <f aca="false">"IND"</f>
        <v>IND</v>
      </c>
      <c r="J69" s="0" t="n">
        <f aca="false">YEAR(India_staff[[#This Row],[Date Joined]])</f>
        <v>2021</v>
      </c>
      <c r="K69" s="0" t="n">
        <f aca="false">MONTH(India_staff[[#This Row],[Date Joined]])</f>
        <v>9</v>
      </c>
      <c r="L69" s="0" t="str">
        <f aca="false">TEXT(India_staff[[#This Row],[Date Joined]],"mmm")</f>
        <v>Sep</v>
      </c>
    </row>
    <row r="70" customFormat="false" ht="15" hidden="false" customHeight="false" outlineLevel="0" collapsed="false">
      <c r="B70" s="0" t="s">
        <v>170</v>
      </c>
      <c r="C70" s="0" t="s">
        <v>17</v>
      </c>
      <c r="D70" s="0" t="s">
        <v>11</v>
      </c>
      <c r="E70" s="0" t="n">
        <v>20</v>
      </c>
      <c r="F70" s="9" t="n">
        <v>44476</v>
      </c>
      <c r="G70" s="0" t="n">
        <v>68900</v>
      </c>
      <c r="H70" s="0" t="s">
        <v>20</v>
      </c>
      <c r="I70" s="0" t="str">
        <f aca="false">"IND"</f>
        <v>IND</v>
      </c>
      <c r="J70" s="0" t="n">
        <f aca="false">YEAR(India_staff[[#This Row],[Date Joined]])</f>
        <v>2021</v>
      </c>
      <c r="K70" s="0" t="n">
        <f aca="false">MONTH(India_staff[[#This Row],[Date Joined]])</f>
        <v>10</v>
      </c>
      <c r="L70" s="0" t="str">
        <f aca="false">TEXT(India_staff[[#This Row],[Date Joined]],"mmm")</f>
        <v>Oct</v>
      </c>
    </row>
    <row r="71" customFormat="false" ht="15" hidden="false" customHeight="false" outlineLevel="0" collapsed="false">
      <c r="B71" s="0" t="s">
        <v>171</v>
      </c>
      <c r="C71" s="0" t="s">
        <v>10</v>
      </c>
      <c r="D71" s="0" t="s">
        <v>19</v>
      </c>
      <c r="E71" s="0" t="n">
        <v>27</v>
      </c>
      <c r="F71" s="9" t="n">
        <v>44506</v>
      </c>
      <c r="G71" s="0" t="n">
        <v>48980</v>
      </c>
      <c r="H71" s="0" t="s">
        <v>15</v>
      </c>
      <c r="I71" s="0" t="str">
        <f aca="false">"IND"</f>
        <v>IND</v>
      </c>
      <c r="J71" s="0" t="n">
        <f aca="false">YEAR(India_staff[[#This Row],[Date Joined]])</f>
        <v>2021</v>
      </c>
      <c r="K71" s="0" t="n">
        <f aca="false">MONTH(India_staff[[#This Row],[Date Joined]])</f>
        <v>11</v>
      </c>
      <c r="L71" s="0" t="str">
        <f aca="false">TEXT(India_staff[[#This Row],[Date Joined]],"mmm")</f>
        <v>Nov</v>
      </c>
    </row>
    <row r="72" customFormat="false" ht="15" hidden="false" customHeight="false" outlineLevel="0" collapsed="false">
      <c r="B72" s="0" t="s">
        <v>172</v>
      </c>
      <c r="D72" s="0" t="s">
        <v>19</v>
      </c>
      <c r="E72" s="0" t="n">
        <v>30</v>
      </c>
      <c r="F72" s="9" t="n">
        <v>44535</v>
      </c>
      <c r="G72" s="0" t="n">
        <v>64000</v>
      </c>
      <c r="H72" s="0" t="s">
        <v>15</v>
      </c>
      <c r="I72" s="0" t="str">
        <f aca="false">"IND"</f>
        <v>IND</v>
      </c>
      <c r="J72" s="0" t="n">
        <f aca="false">YEAR(India_staff[[#This Row],[Date Joined]])</f>
        <v>2021</v>
      </c>
      <c r="K72" s="0" t="n">
        <f aca="false">MONTH(India_staff[[#This Row],[Date Joined]])</f>
        <v>12</v>
      </c>
      <c r="L72" s="0" t="str">
        <f aca="false">TEXT(India_staff[[#This Row],[Date Joined]],"mmm")</f>
        <v>Dec</v>
      </c>
    </row>
    <row r="73" customFormat="false" ht="15" hidden="false" customHeight="false" outlineLevel="0" collapsed="false">
      <c r="B73" s="0" t="s">
        <v>173</v>
      </c>
      <c r="C73" s="0" t="s">
        <v>10</v>
      </c>
      <c r="D73" s="0" t="s">
        <v>19</v>
      </c>
      <c r="E73" s="0" t="n">
        <v>30</v>
      </c>
      <c r="F73" s="9" t="n">
        <v>44544</v>
      </c>
      <c r="G73" s="0" t="n">
        <v>96800</v>
      </c>
      <c r="H73" s="0" t="s">
        <v>15</v>
      </c>
      <c r="I73" s="0" t="str">
        <f aca="false">"IND"</f>
        <v>IND</v>
      </c>
      <c r="J73" s="0" t="n">
        <f aca="false">YEAR(India_staff[[#This Row],[Date Joined]])</f>
        <v>2021</v>
      </c>
      <c r="K73" s="0" t="n">
        <f aca="false">MONTH(India_staff[[#This Row],[Date Joined]])</f>
        <v>12</v>
      </c>
      <c r="L73" s="0" t="str">
        <f aca="false">TEXT(India_staff[[#This Row],[Date Joined]],"mmm")</f>
        <v>Dec</v>
      </c>
    </row>
    <row r="74" customFormat="false" ht="15" hidden="false" customHeight="false" outlineLevel="0" collapsed="false">
      <c r="B74" s="0" t="s">
        <v>173</v>
      </c>
      <c r="C74" s="0" t="s">
        <v>10</v>
      </c>
      <c r="D74" s="0" t="s">
        <v>19</v>
      </c>
      <c r="E74" s="0" t="n">
        <v>30</v>
      </c>
      <c r="F74" s="9" t="n">
        <v>44544</v>
      </c>
      <c r="G74" s="0" t="n">
        <v>96800</v>
      </c>
      <c r="H74" s="0" t="s">
        <v>15</v>
      </c>
      <c r="I74" s="0" t="str">
        <f aca="false">"IND"</f>
        <v>IND</v>
      </c>
      <c r="J74" s="0" t="n">
        <f aca="false">YEAR(India_staff[[#This Row],[Date Joined]])</f>
        <v>2021</v>
      </c>
      <c r="K74" s="0" t="n">
        <f aca="false">MONTH(India_staff[[#This Row],[Date Joined]])</f>
        <v>12</v>
      </c>
      <c r="L74" s="0" t="str">
        <f aca="false">TEXT(India_staff[[#This Row],[Date Joined]],"mmm")</f>
        <v>Dec</v>
      </c>
    </row>
    <row r="75" customFormat="false" ht="15" hidden="false" customHeight="false" outlineLevel="0" collapsed="false">
      <c r="B75" s="0" t="s">
        <v>174</v>
      </c>
      <c r="C75" s="0" t="s">
        <v>10</v>
      </c>
      <c r="D75" s="0" t="s">
        <v>14</v>
      </c>
      <c r="E75" s="0" t="n">
        <v>27</v>
      </c>
      <c r="F75" s="9" t="n">
        <v>44547</v>
      </c>
      <c r="G75" s="0" t="n">
        <v>113280</v>
      </c>
      <c r="H75" s="0" t="s">
        <v>51</v>
      </c>
      <c r="I75" s="0" t="str">
        <f aca="false">"IND"</f>
        <v>IND</v>
      </c>
      <c r="J75" s="0" t="n">
        <f aca="false">YEAR(India_staff[[#This Row],[Date Joined]])</f>
        <v>2021</v>
      </c>
      <c r="K75" s="0" t="n">
        <f aca="false">MONTH(India_staff[[#This Row],[Date Joined]])</f>
        <v>12</v>
      </c>
      <c r="L75" s="0" t="str">
        <f aca="false">TEXT(India_staff[[#This Row],[Date Joined]],"mmm")</f>
        <v>Dec</v>
      </c>
    </row>
    <row r="76" customFormat="false" ht="15" hidden="false" customHeight="false" outlineLevel="0" collapsed="false">
      <c r="B76" s="0" t="s">
        <v>175</v>
      </c>
      <c r="C76" s="0" t="s">
        <v>17</v>
      </c>
      <c r="D76" s="0" t="s">
        <v>14</v>
      </c>
      <c r="E76" s="0" t="n">
        <v>32</v>
      </c>
      <c r="F76" s="9" t="n">
        <v>44549</v>
      </c>
      <c r="G76" s="0" t="n">
        <v>41570</v>
      </c>
      <c r="H76" s="0" t="s">
        <v>15</v>
      </c>
      <c r="I76" s="0" t="str">
        <f aca="false">"IND"</f>
        <v>IND</v>
      </c>
      <c r="J76" s="0" t="n">
        <f aca="false">YEAR(India_staff[[#This Row],[Date Joined]])</f>
        <v>2021</v>
      </c>
      <c r="K76" s="0" t="n">
        <f aca="false">MONTH(India_staff[[#This Row],[Date Joined]])</f>
        <v>12</v>
      </c>
      <c r="L76" s="0" t="str">
        <f aca="false">TEXT(India_staff[[#This Row],[Date Joined]],"mmm")</f>
        <v>Dec</v>
      </c>
    </row>
    <row r="77" customFormat="false" ht="15" hidden="false" customHeight="false" outlineLevel="0" collapsed="false">
      <c r="B77" s="0" t="s">
        <v>176</v>
      </c>
      <c r="C77" s="0" t="s">
        <v>17</v>
      </c>
      <c r="D77" s="0" t="s">
        <v>19</v>
      </c>
      <c r="E77" s="0" t="n">
        <v>34</v>
      </c>
      <c r="F77" s="9" t="n">
        <v>44550</v>
      </c>
      <c r="G77" s="0" t="n">
        <v>60130</v>
      </c>
      <c r="H77" s="0" t="s">
        <v>15</v>
      </c>
      <c r="I77" s="0" t="str">
        <f aca="false">"IND"</f>
        <v>IND</v>
      </c>
      <c r="J77" s="0" t="n">
        <f aca="false">YEAR(India_staff[[#This Row],[Date Joined]])</f>
        <v>2021</v>
      </c>
      <c r="K77" s="0" t="n">
        <f aca="false">MONTH(India_staff[[#This Row],[Date Joined]])</f>
        <v>12</v>
      </c>
      <c r="L77" s="0" t="str">
        <f aca="false">TEXT(India_staff[[#This Row],[Date Joined]],"mmm")</f>
        <v>Dec</v>
      </c>
    </row>
    <row r="78" customFormat="false" ht="15" hidden="false" customHeight="false" outlineLevel="0" collapsed="false">
      <c r="B78" s="0" t="s">
        <v>177</v>
      </c>
      <c r="C78" s="0" t="s">
        <v>10</v>
      </c>
      <c r="D78" s="0" t="s">
        <v>11</v>
      </c>
      <c r="E78" s="0" t="n">
        <v>43</v>
      </c>
      <c r="F78" s="9" t="n">
        <v>44558</v>
      </c>
      <c r="G78" s="0" t="n">
        <v>36040</v>
      </c>
      <c r="H78" s="0" t="s">
        <v>15</v>
      </c>
      <c r="I78" s="0" t="str">
        <f aca="false">"IND"</f>
        <v>IND</v>
      </c>
      <c r="J78" s="0" t="n">
        <f aca="false">YEAR(India_staff[[#This Row],[Date Joined]])</f>
        <v>2021</v>
      </c>
      <c r="K78" s="0" t="n">
        <f aca="false">MONTH(India_staff[[#This Row],[Date Joined]])</f>
        <v>12</v>
      </c>
      <c r="L78" s="0" t="str">
        <f aca="false">TEXT(India_staff[[#This Row],[Date Joined]],"mmm")</f>
        <v>Dec</v>
      </c>
    </row>
    <row r="79" customFormat="false" ht="15" hidden="false" customHeight="false" outlineLevel="0" collapsed="false">
      <c r="B79" s="0" t="s">
        <v>178</v>
      </c>
      <c r="C79" s="0" t="s">
        <v>17</v>
      </c>
      <c r="D79" s="0" t="s">
        <v>14</v>
      </c>
      <c r="E79" s="0" t="n">
        <v>28</v>
      </c>
      <c r="F79" s="9" t="n">
        <v>44571</v>
      </c>
      <c r="G79" s="0" t="n">
        <v>99970</v>
      </c>
      <c r="H79" s="0" t="s">
        <v>15</v>
      </c>
      <c r="I79" s="0" t="str">
        <f aca="false">"IND"</f>
        <v>IND</v>
      </c>
      <c r="J79" s="0" t="n">
        <f aca="false">YEAR(India_staff[[#This Row],[Date Joined]])</f>
        <v>2022</v>
      </c>
      <c r="K79" s="0" t="n">
        <f aca="false">MONTH(India_staff[[#This Row],[Date Joined]])</f>
        <v>1</v>
      </c>
      <c r="L79" s="0" t="str">
        <f aca="false">TEXT(India_staff[[#This Row],[Date Joined]],"mmm")</f>
        <v>Jan</v>
      </c>
    </row>
    <row r="80" customFormat="false" ht="15" hidden="false" customHeight="false" outlineLevel="0" collapsed="false">
      <c r="B80" s="0" t="s">
        <v>179</v>
      </c>
      <c r="C80" s="0" t="s">
        <v>17</v>
      </c>
      <c r="D80" s="0" t="s">
        <v>14</v>
      </c>
      <c r="E80" s="0" t="n">
        <v>28</v>
      </c>
      <c r="F80" s="9" t="n">
        <v>44590</v>
      </c>
      <c r="G80" s="0" t="n">
        <v>104120</v>
      </c>
      <c r="H80" s="0" t="s">
        <v>15</v>
      </c>
      <c r="I80" s="0" t="str">
        <f aca="false">"IND"</f>
        <v>IND</v>
      </c>
      <c r="J80" s="0" t="n">
        <f aca="false">YEAR(India_staff[[#This Row],[Date Joined]])</f>
        <v>2022</v>
      </c>
      <c r="K80" s="0" t="n">
        <f aca="false">MONTH(India_staff[[#This Row],[Date Joined]])</f>
        <v>1</v>
      </c>
      <c r="L80" s="0" t="str">
        <f aca="false">TEXT(India_staff[[#This Row],[Date Joined]],"mmm")</f>
        <v>Jan</v>
      </c>
    </row>
    <row r="81" customFormat="false" ht="15" hidden="false" customHeight="false" outlineLevel="0" collapsed="false">
      <c r="B81" s="0" t="s">
        <v>180</v>
      </c>
      <c r="C81" s="0" t="s">
        <v>17</v>
      </c>
      <c r="D81" s="0" t="s">
        <v>19</v>
      </c>
      <c r="E81" s="0" t="n">
        <v>34</v>
      </c>
      <c r="F81" s="9" t="n">
        <v>44594</v>
      </c>
      <c r="G81" s="0" t="n">
        <v>58940</v>
      </c>
      <c r="H81" s="0" t="s">
        <v>15</v>
      </c>
      <c r="I81" s="0" t="str">
        <f aca="false">"IND"</f>
        <v>IND</v>
      </c>
      <c r="J81" s="0" t="n">
        <f aca="false">YEAR(India_staff[[#This Row],[Date Joined]])</f>
        <v>2022</v>
      </c>
      <c r="K81" s="0" t="n">
        <f aca="false">MONTH(India_staff[[#This Row],[Date Joined]])</f>
        <v>2</v>
      </c>
      <c r="L81" s="0" t="str">
        <f aca="false">TEXT(India_staff[[#This Row],[Date Joined]],"mmm")</f>
        <v>Feb</v>
      </c>
    </row>
    <row r="82" customFormat="false" ht="15" hidden="false" customHeight="false" outlineLevel="0" collapsed="false">
      <c r="B82" s="0" t="s">
        <v>181</v>
      </c>
      <c r="C82" s="0" t="s">
        <v>17</v>
      </c>
      <c r="D82" s="0" t="s">
        <v>25</v>
      </c>
      <c r="E82" s="0" t="n">
        <v>31</v>
      </c>
      <c r="F82" s="9" t="n">
        <v>44604</v>
      </c>
      <c r="G82" s="0" t="n">
        <v>58100</v>
      </c>
      <c r="H82" s="0" t="s">
        <v>15</v>
      </c>
      <c r="I82" s="0" t="str">
        <f aca="false">"IND"</f>
        <v>IND</v>
      </c>
      <c r="J82" s="0" t="n">
        <f aca="false">YEAR(India_staff[[#This Row],[Date Joined]])</f>
        <v>2022</v>
      </c>
      <c r="K82" s="0" t="n">
        <f aca="false">MONTH(India_staff[[#This Row],[Date Joined]])</f>
        <v>2</v>
      </c>
      <c r="L82" s="0" t="str">
        <f aca="false">TEXT(India_staff[[#This Row],[Date Joined]],"mmm")</f>
        <v>Feb</v>
      </c>
    </row>
    <row r="83" customFormat="false" ht="15" hidden="false" customHeight="false" outlineLevel="0" collapsed="false">
      <c r="B83" s="0" t="s">
        <v>182</v>
      </c>
      <c r="C83" s="0" t="s">
        <v>10</v>
      </c>
      <c r="D83" s="0" t="s">
        <v>14</v>
      </c>
      <c r="E83" s="0" t="n">
        <v>30</v>
      </c>
      <c r="F83" s="9" t="n">
        <v>44607</v>
      </c>
      <c r="G83" s="0" t="n">
        <v>60570</v>
      </c>
      <c r="H83" s="0" t="s">
        <v>15</v>
      </c>
      <c r="I83" s="0" t="str">
        <f aca="false">"IND"</f>
        <v>IND</v>
      </c>
      <c r="J83" s="0" t="n">
        <f aca="false">YEAR(India_staff[[#This Row],[Date Joined]])</f>
        <v>2022</v>
      </c>
      <c r="K83" s="0" t="n">
        <f aca="false">MONTH(India_staff[[#This Row],[Date Joined]])</f>
        <v>2</v>
      </c>
      <c r="L83" s="0" t="str">
        <f aca="false">TEXT(India_staff[[#This Row],[Date Joined]],"mmm")</f>
        <v>Feb</v>
      </c>
    </row>
    <row r="84" customFormat="false" ht="15" hidden="false" customHeight="false" outlineLevel="0" collapsed="false">
      <c r="B84" s="0" t="s">
        <v>183</v>
      </c>
      <c r="C84" s="0" t="s">
        <v>17</v>
      </c>
      <c r="D84" s="0" t="s">
        <v>25</v>
      </c>
      <c r="E84" s="0" t="n">
        <v>21</v>
      </c>
      <c r="F84" s="9" t="n">
        <v>44619</v>
      </c>
      <c r="G84" s="0" t="n">
        <v>33920</v>
      </c>
      <c r="H84" s="0" t="s">
        <v>15</v>
      </c>
      <c r="I84" s="0" t="str">
        <f aca="false">"IND"</f>
        <v>IND</v>
      </c>
      <c r="J84" s="0" t="n">
        <f aca="false">YEAR(India_staff[[#This Row],[Date Joined]])</f>
        <v>2022</v>
      </c>
      <c r="K84" s="0" t="n">
        <f aca="false">MONTH(India_staff[[#This Row],[Date Joined]])</f>
        <v>2</v>
      </c>
      <c r="L84" s="0" t="str">
        <f aca="false">TEXT(India_staff[[#This Row],[Date Joined]],"mmm")</f>
        <v>Feb</v>
      </c>
    </row>
    <row r="85" customFormat="false" ht="15" hidden="false" customHeight="false" outlineLevel="0" collapsed="false">
      <c r="B85" s="0" t="s">
        <v>184</v>
      </c>
      <c r="C85" s="0" t="s">
        <v>10</v>
      </c>
      <c r="D85" s="0" t="s">
        <v>25</v>
      </c>
      <c r="E85" s="0" t="n">
        <v>24</v>
      </c>
      <c r="F85" s="9" t="n">
        <v>44625</v>
      </c>
      <c r="G85" s="0" t="n">
        <v>100420</v>
      </c>
      <c r="H85" s="0" t="s">
        <v>15</v>
      </c>
      <c r="I85" s="0" t="str">
        <f aca="false">"IND"</f>
        <v>IND</v>
      </c>
      <c r="J85" s="0" t="n">
        <f aca="false">YEAR(India_staff[[#This Row],[Date Joined]])</f>
        <v>2022</v>
      </c>
      <c r="K85" s="0" t="n">
        <f aca="false">MONTH(India_staff[[#This Row],[Date Joined]])</f>
        <v>3</v>
      </c>
      <c r="L85" s="0" t="str">
        <f aca="false">TEXT(India_staff[[#This Row],[Date Joined]],"mmm")</f>
        <v>Mar</v>
      </c>
    </row>
    <row r="86" customFormat="false" ht="15" hidden="false" customHeight="false" outlineLevel="0" collapsed="false">
      <c r="B86" s="0" t="s">
        <v>185</v>
      </c>
      <c r="C86" s="0" t="s">
        <v>17</v>
      </c>
      <c r="D86" s="0" t="s">
        <v>25</v>
      </c>
      <c r="E86" s="0" t="n">
        <v>27</v>
      </c>
      <c r="F86" s="9" t="n">
        <v>44625</v>
      </c>
      <c r="G86" s="0" t="n">
        <v>83750</v>
      </c>
      <c r="H86" s="0" t="s">
        <v>15</v>
      </c>
      <c r="I86" s="0" t="str">
        <f aca="false">"IND"</f>
        <v>IND</v>
      </c>
      <c r="J86" s="0" t="n">
        <f aca="false">YEAR(India_staff[[#This Row],[Date Joined]])</f>
        <v>2022</v>
      </c>
      <c r="K86" s="0" t="n">
        <f aca="false">MONTH(India_staff[[#This Row],[Date Joined]])</f>
        <v>3</v>
      </c>
      <c r="L86" s="0" t="str">
        <f aca="false">TEXT(India_staff[[#This Row],[Date Joined]],"mmm")</f>
        <v>Mar</v>
      </c>
    </row>
    <row r="87" customFormat="false" ht="15" hidden="false" customHeight="false" outlineLevel="0" collapsed="false">
      <c r="B87" s="0" t="s">
        <v>186</v>
      </c>
      <c r="C87" s="0" t="s">
        <v>17</v>
      </c>
      <c r="D87" s="0" t="s">
        <v>25</v>
      </c>
      <c r="E87" s="0" t="n">
        <v>25</v>
      </c>
      <c r="F87" s="9" t="n">
        <v>44633</v>
      </c>
      <c r="G87" s="0" t="n">
        <v>80700</v>
      </c>
      <c r="H87" s="0" t="s">
        <v>12</v>
      </c>
      <c r="I87" s="0" t="str">
        <f aca="false">"IND"</f>
        <v>IND</v>
      </c>
      <c r="J87" s="0" t="n">
        <f aca="false">YEAR(India_staff[[#This Row],[Date Joined]])</f>
        <v>2022</v>
      </c>
      <c r="K87" s="0" t="n">
        <f aca="false">MONTH(India_staff[[#This Row],[Date Joined]])</f>
        <v>3</v>
      </c>
      <c r="L87" s="0" t="str">
        <f aca="false">TEXT(India_staff[[#This Row],[Date Joined]],"mmm")</f>
        <v>Mar</v>
      </c>
    </row>
    <row r="88" customFormat="false" ht="15" hidden="false" customHeight="false" outlineLevel="0" collapsed="false">
      <c r="B88" s="0" t="s">
        <v>187</v>
      </c>
      <c r="C88" s="0" t="s">
        <v>10</v>
      </c>
      <c r="D88" s="0" t="s">
        <v>25</v>
      </c>
      <c r="E88" s="0" t="n">
        <v>37</v>
      </c>
      <c r="F88" s="9" t="n">
        <v>44640</v>
      </c>
      <c r="G88" s="0" t="n">
        <v>69070</v>
      </c>
      <c r="H88" s="0" t="s">
        <v>15</v>
      </c>
      <c r="I88" s="0" t="str">
        <f aca="false">"IND"</f>
        <v>IND</v>
      </c>
      <c r="J88" s="0" t="n">
        <f aca="false">YEAR(India_staff[[#This Row],[Date Joined]])</f>
        <v>2022</v>
      </c>
      <c r="K88" s="0" t="n">
        <f aca="false">MONTH(India_staff[[#This Row],[Date Joined]])</f>
        <v>3</v>
      </c>
      <c r="L88" s="0" t="str">
        <f aca="false">TEXT(India_staff[[#This Row],[Date Joined]],"mmm")</f>
        <v>Mar</v>
      </c>
    </row>
    <row r="89" customFormat="false" ht="15" hidden="false" customHeight="false" outlineLevel="0" collapsed="false">
      <c r="B89" s="0" t="s">
        <v>188</v>
      </c>
      <c r="C89" s="0" t="s">
        <v>10</v>
      </c>
      <c r="D89" s="0" t="s">
        <v>14</v>
      </c>
      <c r="E89" s="0" t="n">
        <v>30</v>
      </c>
      <c r="F89" s="9" t="n">
        <v>44640</v>
      </c>
      <c r="G89" s="0" t="n">
        <v>67950</v>
      </c>
      <c r="H89" s="0" t="s">
        <v>15</v>
      </c>
      <c r="I89" s="0" t="str">
        <f aca="false">"IND"</f>
        <v>IND</v>
      </c>
      <c r="J89" s="0" t="n">
        <f aca="false">YEAR(India_staff[[#This Row],[Date Joined]])</f>
        <v>2022</v>
      </c>
      <c r="K89" s="0" t="n">
        <f aca="false">MONTH(India_staff[[#This Row],[Date Joined]])</f>
        <v>3</v>
      </c>
      <c r="L89" s="0" t="str">
        <f aca="false">TEXT(India_staff[[#This Row],[Date Joined]],"mmm")</f>
        <v>Mar</v>
      </c>
    </row>
    <row r="90" customFormat="false" ht="15" hidden="false" customHeight="false" outlineLevel="0" collapsed="false">
      <c r="B90" s="0" t="s">
        <v>189</v>
      </c>
      <c r="C90" s="0" t="s">
        <v>10</v>
      </c>
      <c r="D90" s="0" t="s">
        <v>14</v>
      </c>
      <c r="E90" s="0" t="n">
        <v>33</v>
      </c>
      <c r="F90" s="9" t="n">
        <v>44640</v>
      </c>
      <c r="G90" s="0" t="n">
        <v>48530</v>
      </c>
      <c r="H90" s="0" t="s">
        <v>12</v>
      </c>
      <c r="I90" s="0" t="str">
        <f aca="false">"IND"</f>
        <v>IND</v>
      </c>
      <c r="J90" s="0" t="n">
        <f aca="false">YEAR(India_staff[[#This Row],[Date Joined]])</f>
        <v>2022</v>
      </c>
      <c r="K90" s="0" t="n">
        <f aca="false">MONTH(India_staff[[#This Row],[Date Joined]])</f>
        <v>3</v>
      </c>
      <c r="L90" s="0" t="str">
        <f aca="false">TEXT(India_staff[[#This Row],[Date Joined]],"mmm")</f>
        <v>Mar</v>
      </c>
    </row>
    <row r="91" customFormat="false" ht="15" hidden="false" customHeight="false" outlineLevel="0" collapsed="false">
      <c r="B91" s="0" t="s">
        <v>190</v>
      </c>
      <c r="C91" s="0" t="s">
        <v>10</v>
      </c>
      <c r="D91" s="0" t="s">
        <v>14</v>
      </c>
      <c r="E91" s="0" t="n">
        <v>34</v>
      </c>
      <c r="F91" s="9" t="n">
        <v>44642</v>
      </c>
      <c r="G91" s="0" t="n">
        <v>112650</v>
      </c>
      <c r="H91" s="0" t="s">
        <v>15</v>
      </c>
      <c r="I91" s="0" t="str">
        <f aca="false">"IND"</f>
        <v>IND</v>
      </c>
      <c r="J91" s="0" t="n">
        <f aca="false">YEAR(India_staff[[#This Row],[Date Joined]])</f>
        <v>2022</v>
      </c>
      <c r="K91" s="0" t="n">
        <f aca="false">MONTH(India_staff[[#This Row],[Date Joined]])</f>
        <v>3</v>
      </c>
      <c r="L91" s="0" t="str">
        <f aca="false">TEXT(India_staff[[#This Row],[Date Joined]],"mmm")</f>
        <v>Mar</v>
      </c>
    </row>
    <row r="92" customFormat="false" ht="15" hidden="false" customHeight="false" outlineLevel="0" collapsed="false">
      <c r="B92" s="0" t="s">
        <v>190</v>
      </c>
      <c r="C92" s="0" t="s">
        <v>10</v>
      </c>
      <c r="D92" s="0" t="s">
        <v>14</v>
      </c>
      <c r="E92" s="0" t="n">
        <v>34</v>
      </c>
      <c r="F92" s="9" t="n">
        <v>44642</v>
      </c>
      <c r="G92" s="0" t="n">
        <v>112650</v>
      </c>
      <c r="H92" s="0" t="s">
        <v>15</v>
      </c>
      <c r="I92" s="0" t="str">
        <f aca="false">"IND"</f>
        <v>IND</v>
      </c>
      <c r="J92" s="0" t="n">
        <f aca="false">YEAR(India_staff[[#This Row],[Date Joined]])</f>
        <v>2022</v>
      </c>
      <c r="K92" s="0" t="n">
        <f aca="false">MONTH(India_staff[[#This Row],[Date Joined]])</f>
        <v>3</v>
      </c>
      <c r="L92" s="0" t="str">
        <f aca="false">TEXT(India_staff[[#This Row],[Date Joined]],"mmm")</f>
        <v>Mar</v>
      </c>
    </row>
    <row r="93" customFormat="false" ht="15" hidden="false" customHeight="false" outlineLevel="0" collapsed="false">
      <c r="B93" s="0" t="s">
        <v>191</v>
      </c>
      <c r="C93" s="0" t="s">
        <v>17</v>
      </c>
      <c r="D93" s="0" t="s">
        <v>11</v>
      </c>
      <c r="E93" s="0" t="n">
        <v>34</v>
      </c>
      <c r="F93" s="9" t="n">
        <v>44660</v>
      </c>
      <c r="G93" s="0" t="n">
        <v>49630</v>
      </c>
      <c r="H93" s="0" t="s">
        <v>20</v>
      </c>
      <c r="I93" s="0" t="str">
        <f aca="false">"IND"</f>
        <v>IND</v>
      </c>
      <c r="J93" s="0" t="n">
        <f aca="false">YEAR(India_staff[[#This Row],[Date Joined]])</f>
        <v>2022</v>
      </c>
      <c r="K93" s="0" t="n">
        <f aca="false">MONTH(India_staff[[#This Row],[Date Joined]])</f>
        <v>4</v>
      </c>
      <c r="L93" s="0" t="str">
        <f aca="false">TEXT(India_staff[[#This Row],[Date Joined]],"mmm")</f>
        <v>Apr</v>
      </c>
    </row>
    <row r="94" customFormat="false" ht="15" hidden="false" customHeight="false" outlineLevel="0" collapsed="false">
      <c r="B94" s="0" t="s">
        <v>191</v>
      </c>
      <c r="C94" s="0" t="s">
        <v>17</v>
      </c>
      <c r="D94" s="0" t="s">
        <v>11</v>
      </c>
      <c r="E94" s="0" t="n">
        <v>34</v>
      </c>
      <c r="F94" s="9" t="n">
        <v>44660</v>
      </c>
      <c r="G94" s="0" t="n">
        <v>49630</v>
      </c>
      <c r="H94" s="0" t="s">
        <v>20</v>
      </c>
      <c r="I94" s="0" t="str">
        <f aca="false">"IND"</f>
        <v>IND</v>
      </c>
      <c r="J94" s="0" t="n">
        <f aca="false">YEAR(India_staff[[#This Row],[Date Joined]])</f>
        <v>2022</v>
      </c>
      <c r="K94" s="0" t="n">
        <f aca="false">MONTH(India_staff[[#This Row],[Date Joined]])</f>
        <v>4</v>
      </c>
      <c r="L94" s="0" t="str">
        <f aca="false">TEXT(India_staff[[#This Row],[Date Joined]],"mmm")</f>
        <v>Apr</v>
      </c>
    </row>
    <row r="95" customFormat="false" ht="15" hidden="false" customHeight="false" outlineLevel="0" collapsed="false">
      <c r="B95" s="0" t="s">
        <v>192</v>
      </c>
      <c r="C95" s="0" t="s">
        <v>10</v>
      </c>
      <c r="D95" s="0" t="s">
        <v>14</v>
      </c>
      <c r="E95" s="0" t="n">
        <v>31</v>
      </c>
      <c r="F95" s="9" t="n">
        <v>44663</v>
      </c>
      <c r="G95" s="0" t="n">
        <v>103550</v>
      </c>
      <c r="H95" s="0" t="s">
        <v>15</v>
      </c>
      <c r="I95" s="0" t="str">
        <f aca="false">"IND"</f>
        <v>IND</v>
      </c>
      <c r="J95" s="0" t="n">
        <f aca="false">YEAR(India_staff[[#This Row],[Date Joined]])</f>
        <v>2022</v>
      </c>
      <c r="K95" s="0" t="n">
        <f aca="false">MONTH(India_staff[[#This Row],[Date Joined]])</f>
        <v>4</v>
      </c>
      <c r="L95" s="0" t="str">
        <f aca="false">TEXT(India_staff[[#This Row],[Date Joined]],"mmm")</f>
        <v>Apr</v>
      </c>
    </row>
    <row r="96" customFormat="false" ht="15" hidden="false" customHeight="false" outlineLevel="0" collapsed="false">
      <c r="B96" s="0" t="s">
        <v>192</v>
      </c>
      <c r="C96" s="0" t="s">
        <v>10</v>
      </c>
      <c r="D96" s="0" t="s">
        <v>14</v>
      </c>
      <c r="E96" s="0" t="n">
        <v>31</v>
      </c>
      <c r="F96" s="9" t="n">
        <v>44663</v>
      </c>
      <c r="G96" s="0" t="n">
        <v>103550</v>
      </c>
      <c r="H96" s="0" t="s">
        <v>15</v>
      </c>
      <c r="I96" s="0" t="str">
        <f aca="false">"IND"</f>
        <v>IND</v>
      </c>
      <c r="J96" s="0" t="n">
        <f aca="false">YEAR(India_staff[[#This Row],[Date Joined]])</f>
        <v>2022</v>
      </c>
      <c r="K96" s="0" t="n">
        <f aca="false">MONTH(India_staff[[#This Row],[Date Joined]])</f>
        <v>4</v>
      </c>
      <c r="L96" s="0" t="str">
        <f aca="false">TEXT(India_staff[[#This Row],[Date Joined]],"mmm")</f>
        <v>Apr</v>
      </c>
    </row>
    <row r="97" customFormat="false" ht="15" hidden="false" customHeight="false" outlineLevel="0" collapsed="false">
      <c r="B97" s="0" t="s">
        <v>193</v>
      </c>
      <c r="C97" s="0" t="s">
        <v>10</v>
      </c>
      <c r="D97" s="0" t="s">
        <v>14</v>
      </c>
      <c r="E97" s="0" t="n">
        <v>25</v>
      </c>
      <c r="F97" s="9" t="n">
        <v>44665</v>
      </c>
      <c r="G97" s="0" t="n">
        <v>109190</v>
      </c>
      <c r="H97" s="0" t="s">
        <v>12</v>
      </c>
      <c r="I97" s="0" t="str">
        <f aca="false">"IND"</f>
        <v>IND</v>
      </c>
      <c r="J97" s="0" t="n">
        <f aca="false">YEAR(India_staff[[#This Row],[Date Joined]])</f>
        <v>2022</v>
      </c>
      <c r="K97" s="0" t="n">
        <f aca="false">MONTH(India_staff[[#This Row],[Date Joined]])</f>
        <v>4</v>
      </c>
      <c r="L97" s="0" t="str">
        <f aca="false">TEXT(India_staff[[#This Row],[Date Joined]],"mmm")</f>
        <v>Apr</v>
      </c>
    </row>
    <row r="98" customFormat="false" ht="15" hidden="false" customHeight="false" outlineLevel="0" collapsed="false">
      <c r="B98" s="0" t="s">
        <v>193</v>
      </c>
      <c r="C98" s="0" t="s">
        <v>10</v>
      </c>
      <c r="D98" s="0" t="s">
        <v>14</v>
      </c>
      <c r="E98" s="0" t="n">
        <v>25</v>
      </c>
      <c r="F98" s="9" t="n">
        <v>44665</v>
      </c>
      <c r="G98" s="0" t="n">
        <v>109190</v>
      </c>
      <c r="H98" s="0" t="s">
        <v>12</v>
      </c>
      <c r="I98" s="0" t="str">
        <f aca="false">"IND"</f>
        <v>IND</v>
      </c>
      <c r="J98" s="0" t="n">
        <f aca="false">YEAR(India_staff[[#This Row],[Date Joined]])</f>
        <v>2022</v>
      </c>
      <c r="K98" s="0" t="n">
        <f aca="false">MONTH(India_staff[[#This Row],[Date Joined]])</f>
        <v>4</v>
      </c>
      <c r="L98" s="0" t="str">
        <f aca="false">TEXT(India_staff[[#This Row],[Date Joined]],"mmm")</f>
        <v>Apr</v>
      </c>
    </row>
    <row r="99" customFormat="false" ht="15" hidden="false" customHeight="false" outlineLevel="0" collapsed="false">
      <c r="B99" s="0" t="s">
        <v>194</v>
      </c>
      <c r="C99" s="0" t="s">
        <v>10</v>
      </c>
      <c r="D99" s="0" t="s">
        <v>14</v>
      </c>
      <c r="E99" s="0" t="n">
        <v>35</v>
      </c>
      <c r="F99" s="9" t="n">
        <v>44666</v>
      </c>
      <c r="G99" s="0" t="n">
        <v>40400</v>
      </c>
      <c r="H99" s="0" t="s">
        <v>15</v>
      </c>
      <c r="I99" s="0" t="str">
        <f aca="false">"IND"</f>
        <v>IND</v>
      </c>
      <c r="J99" s="0" t="n">
        <f aca="false">YEAR(India_staff[[#This Row],[Date Joined]])</f>
        <v>2022</v>
      </c>
      <c r="K99" s="0" t="n">
        <f aca="false">MONTH(India_staff[[#This Row],[Date Joined]])</f>
        <v>4</v>
      </c>
      <c r="L99" s="0" t="str">
        <f aca="false">TEXT(India_staff[[#This Row],[Date Joined]],"mmm")</f>
        <v>Apr</v>
      </c>
    </row>
    <row r="100" customFormat="false" ht="15" hidden="false" customHeight="false" outlineLevel="0" collapsed="false">
      <c r="B100" s="0" t="s">
        <v>195</v>
      </c>
      <c r="C100" s="0" t="s">
        <v>10</v>
      </c>
      <c r="D100" s="0" t="s">
        <v>19</v>
      </c>
      <c r="E100" s="0" t="n">
        <v>42</v>
      </c>
      <c r="F100" s="9" t="n">
        <v>44670</v>
      </c>
      <c r="G100" s="0" t="n">
        <v>70270</v>
      </c>
      <c r="H100" s="0" t="s">
        <v>20</v>
      </c>
      <c r="I100" s="0" t="str">
        <f aca="false">"IND"</f>
        <v>IND</v>
      </c>
      <c r="J100" s="0" t="n">
        <f aca="false">YEAR(India_staff[[#This Row],[Date Joined]])</f>
        <v>2022</v>
      </c>
      <c r="K100" s="0" t="n">
        <f aca="false">MONTH(India_staff[[#This Row],[Date Joined]])</f>
        <v>4</v>
      </c>
      <c r="L100" s="0" t="str">
        <f aca="false">TEXT(India_staff[[#This Row],[Date Joined]],"mmm")</f>
        <v>Apr</v>
      </c>
    </row>
    <row r="101" customFormat="false" ht="15" hidden="false" customHeight="false" outlineLevel="0" collapsed="false">
      <c r="B101" s="0" t="s">
        <v>196</v>
      </c>
      <c r="C101" s="0" t="s">
        <v>10</v>
      </c>
      <c r="D101" s="0" t="s">
        <v>14</v>
      </c>
      <c r="E101" s="0" t="n">
        <v>20</v>
      </c>
      <c r="F101" s="9" t="n">
        <v>44683</v>
      </c>
      <c r="G101" s="0" t="n">
        <v>79570</v>
      </c>
      <c r="H101" s="0" t="s">
        <v>15</v>
      </c>
      <c r="I101" s="0" t="str">
        <f aca="false">"IND"</f>
        <v>IND</v>
      </c>
      <c r="J101" s="0" t="n">
        <f aca="false">YEAR(India_staff[[#This Row],[Date Joined]])</f>
        <v>2022</v>
      </c>
      <c r="K101" s="0" t="n">
        <f aca="false">MONTH(India_staff[[#This Row],[Date Joined]])</f>
        <v>5</v>
      </c>
      <c r="L101" s="0" t="str">
        <f aca="false">TEXT(India_staff[[#This Row],[Date Joined]],"mmm")</f>
        <v>May</v>
      </c>
    </row>
    <row r="102" customFormat="false" ht="15" hidden="false" customHeight="false" outlineLevel="0" collapsed="false">
      <c r="B102" s="0" t="s">
        <v>196</v>
      </c>
      <c r="C102" s="0" t="s">
        <v>10</v>
      </c>
      <c r="D102" s="0" t="s">
        <v>14</v>
      </c>
      <c r="E102" s="0" t="n">
        <v>20</v>
      </c>
      <c r="F102" s="9" t="n">
        <v>44683</v>
      </c>
      <c r="G102" s="0" t="n">
        <v>79570</v>
      </c>
      <c r="H102" s="0" t="s">
        <v>15</v>
      </c>
      <c r="I102" s="0" t="str">
        <f aca="false">"IND"</f>
        <v>IND</v>
      </c>
      <c r="J102" s="0" t="n">
        <f aca="false">YEAR(India_staff[[#This Row],[Date Joined]])</f>
        <v>2022</v>
      </c>
      <c r="K102" s="0" t="n">
        <f aca="false">MONTH(India_staff[[#This Row],[Date Joined]])</f>
        <v>5</v>
      </c>
      <c r="L102" s="0" t="str">
        <f aca="false">TEXT(India_staff[[#This Row],[Date Joined]],"mmm")</f>
        <v>May</v>
      </c>
    </row>
    <row r="103" customFormat="false" ht="15" hidden="false" customHeight="false" outlineLevel="0" collapsed="false">
      <c r="B103" s="0" t="s">
        <v>197</v>
      </c>
      <c r="C103" s="0" t="s">
        <v>10</v>
      </c>
      <c r="D103" s="0" t="s">
        <v>14</v>
      </c>
      <c r="E103" s="0" t="n">
        <v>46</v>
      </c>
      <c r="F103" s="9" t="n">
        <v>44697</v>
      </c>
      <c r="G103" s="0" t="n">
        <v>70610</v>
      </c>
      <c r="H103" s="0" t="s">
        <v>15</v>
      </c>
      <c r="I103" s="0" t="str">
        <f aca="false">"IND"</f>
        <v>IND</v>
      </c>
      <c r="J103" s="0" t="n">
        <f aca="false">YEAR(India_staff[[#This Row],[Date Joined]])</f>
        <v>2022</v>
      </c>
      <c r="K103" s="0" t="n">
        <f aca="false">MONTH(India_staff[[#This Row],[Date Joined]])</f>
        <v>5</v>
      </c>
      <c r="L103" s="0" t="str">
        <f aca="false">TEXT(India_staff[[#This Row],[Date Joined]],"mmm")</f>
        <v>May</v>
      </c>
    </row>
    <row r="104" customFormat="false" ht="15" hidden="false" customHeight="false" outlineLevel="0" collapsed="false">
      <c r="B104" s="0" t="s">
        <v>198</v>
      </c>
      <c r="C104" s="0" t="s">
        <v>10</v>
      </c>
      <c r="D104" s="0" t="s">
        <v>14</v>
      </c>
      <c r="E104" s="0" t="n">
        <v>21</v>
      </c>
      <c r="F104" s="9" t="n">
        <v>44701</v>
      </c>
      <c r="G104" s="0" t="n">
        <v>57090</v>
      </c>
      <c r="H104" s="0" t="s">
        <v>15</v>
      </c>
      <c r="I104" s="0" t="str">
        <f aca="false">"IND"</f>
        <v>IND</v>
      </c>
      <c r="J104" s="0" t="n">
        <f aca="false">YEAR(India_staff[[#This Row],[Date Joined]])</f>
        <v>2022</v>
      </c>
      <c r="K104" s="0" t="n">
        <f aca="false">MONTH(India_staff[[#This Row],[Date Joined]])</f>
        <v>5</v>
      </c>
      <c r="L104" s="0" t="str">
        <f aca="false">TEXT(India_staff[[#This Row],[Date Joined]],"mmm")</f>
        <v>May</v>
      </c>
    </row>
    <row r="105" customFormat="false" ht="15" hidden="false" customHeight="false" outlineLevel="0" collapsed="false">
      <c r="B105" s="0" t="s">
        <v>199</v>
      </c>
      <c r="D105" s="0" t="s">
        <v>25</v>
      </c>
      <c r="E105" s="0" t="n">
        <v>32</v>
      </c>
      <c r="F105" s="9" t="n">
        <v>44713</v>
      </c>
      <c r="G105" s="0" t="n">
        <v>91310</v>
      </c>
      <c r="H105" s="0" t="s">
        <v>15</v>
      </c>
      <c r="I105" s="0" t="str">
        <f aca="false">"IND"</f>
        <v>IND</v>
      </c>
      <c r="J105" s="0" t="n">
        <f aca="false">YEAR(India_staff[[#This Row],[Date Joined]])</f>
        <v>2022</v>
      </c>
      <c r="K105" s="0" t="n">
        <f aca="false">MONTH(India_staff[[#This Row],[Date Joined]])</f>
        <v>6</v>
      </c>
      <c r="L105" s="0" t="str">
        <f aca="false">TEXT(India_staff[[#This Row],[Date Joined]],"mmm")</f>
        <v>Jun</v>
      </c>
    </row>
    <row r="106" customFormat="false" ht="15" hidden="false" customHeight="false" outlineLevel="0" collapsed="false">
      <c r="B106" s="0" t="s">
        <v>199</v>
      </c>
      <c r="D106" s="0" t="s">
        <v>25</v>
      </c>
      <c r="E106" s="0" t="n">
        <v>32</v>
      </c>
      <c r="F106" s="9" t="n">
        <v>44713</v>
      </c>
      <c r="G106" s="0" t="n">
        <v>91310</v>
      </c>
      <c r="H106" s="0" t="s">
        <v>15</v>
      </c>
      <c r="I106" s="0" t="str">
        <f aca="false">"IND"</f>
        <v>IND</v>
      </c>
      <c r="J106" s="0" t="n">
        <f aca="false">YEAR(India_staff[[#This Row],[Date Joined]])</f>
        <v>2022</v>
      </c>
      <c r="K106" s="0" t="n">
        <f aca="false">MONTH(India_staff[[#This Row],[Date Joined]])</f>
        <v>6</v>
      </c>
      <c r="L106" s="0" t="str">
        <f aca="false">TEXT(India_staff[[#This Row],[Date Joined]],"mmm")</f>
        <v>Jun</v>
      </c>
    </row>
    <row r="107" customFormat="false" ht="15" hidden="false" customHeight="false" outlineLevel="0" collapsed="false">
      <c r="B107" s="0" t="s">
        <v>200</v>
      </c>
      <c r="C107" s="0" t="s">
        <v>17</v>
      </c>
      <c r="D107" s="0" t="s">
        <v>14</v>
      </c>
      <c r="E107" s="0" t="n">
        <v>42</v>
      </c>
      <c r="F107" s="9" t="n">
        <v>44718</v>
      </c>
      <c r="G107" s="0" t="n">
        <v>75000</v>
      </c>
      <c r="H107" s="0" t="s">
        <v>45</v>
      </c>
      <c r="I107" s="0" t="str">
        <f aca="false">"IND"</f>
        <v>IND</v>
      </c>
      <c r="J107" s="0" t="n">
        <f aca="false">YEAR(India_staff[[#This Row],[Date Joined]])</f>
        <v>2022</v>
      </c>
      <c r="K107" s="0" t="n">
        <f aca="false">MONTH(India_staff[[#This Row],[Date Joined]])</f>
        <v>6</v>
      </c>
      <c r="L107" s="0" t="str">
        <f aca="false">TEXT(India_staff[[#This Row],[Date Joined]],"mmm")</f>
        <v>Jun</v>
      </c>
    </row>
    <row r="108" customFormat="false" ht="15" hidden="false" customHeight="false" outlineLevel="0" collapsed="false">
      <c r="B108" s="0" t="s">
        <v>201</v>
      </c>
      <c r="C108" s="0" t="s">
        <v>17</v>
      </c>
      <c r="D108" s="0" t="s">
        <v>19</v>
      </c>
      <c r="E108" s="0" t="n">
        <v>33</v>
      </c>
      <c r="F108" s="9" t="n">
        <v>44747</v>
      </c>
      <c r="G108" s="0" t="n">
        <v>86570</v>
      </c>
      <c r="H108" s="0" t="s">
        <v>15</v>
      </c>
      <c r="I108" s="0" t="str">
        <f aca="false">"IND"</f>
        <v>IND</v>
      </c>
      <c r="J108" s="0" t="n">
        <f aca="false">YEAR(India_staff[[#This Row],[Date Joined]])</f>
        <v>2022</v>
      </c>
      <c r="K108" s="0" t="n">
        <f aca="false">MONTH(India_staff[[#This Row],[Date Joined]])</f>
        <v>7</v>
      </c>
      <c r="L108" s="0" t="str">
        <f aca="false">TEXT(India_staff[[#This Row],[Date Joined]],"mmm")</f>
        <v>Jul</v>
      </c>
    </row>
    <row r="109" customFormat="false" ht="15" hidden="false" customHeight="false" outlineLevel="0" collapsed="false">
      <c r="B109" s="0" t="s">
        <v>202</v>
      </c>
      <c r="C109" s="0" t="s">
        <v>10</v>
      </c>
      <c r="D109" s="0" t="s">
        <v>11</v>
      </c>
      <c r="E109" s="0" t="n">
        <v>28</v>
      </c>
      <c r="F109" s="9" t="n">
        <v>44758</v>
      </c>
      <c r="G109" s="0" t="n">
        <v>43510</v>
      </c>
      <c r="H109" s="0" t="s">
        <v>51</v>
      </c>
      <c r="I109" s="0" t="str">
        <f aca="false">"IND"</f>
        <v>IND</v>
      </c>
      <c r="J109" s="0" t="n">
        <f aca="false">YEAR(India_staff[[#This Row],[Date Joined]])</f>
        <v>2022</v>
      </c>
      <c r="K109" s="0" t="n">
        <f aca="false">MONTH(India_staff[[#This Row],[Date Joined]])</f>
        <v>7</v>
      </c>
      <c r="L109" s="0" t="str">
        <f aca="false">TEXT(India_staff[[#This Row],[Date Joined]],"mmm")</f>
        <v>Jul</v>
      </c>
    </row>
    <row r="110" customFormat="false" ht="15" hidden="false" customHeight="false" outlineLevel="0" collapsed="false">
      <c r="B110" s="0" t="s">
        <v>203</v>
      </c>
      <c r="C110" s="0" t="s">
        <v>10</v>
      </c>
      <c r="D110" s="0" t="s">
        <v>25</v>
      </c>
      <c r="E110" s="0" t="n">
        <v>30</v>
      </c>
      <c r="F110" s="9" t="n">
        <v>44789</v>
      </c>
      <c r="G110" s="0" t="n">
        <v>69710</v>
      </c>
      <c r="H110" s="0" t="s">
        <v>15</v>
      </c>
      <c r="I110" s="0" t="str">
        <f aca="false">"IND"</f>
        <v>IND</v>
      </c>
      <c r="J110" s="0" t="n">
        <f aca="false">YEAR(India_staff[[#This Row],[Date Joined]])</f>
        <v>2022</v>
      </c>
      <c r="K110" s="0" t="n">
        <f aca="false">MONTH(India_staff[[#This Row],[Date Joined]])</f>
        <v>8</v>
      </c>
      <c r="L110" s="0" t="str">
        <f aca="false">TEXT(India_staff[[#This Row],[Date Joined]],"mmm")</f>
        <v>Aug</v>
      </c>
    </row>
    <row r="111" customFormat="false" ht="15" hidden="false" customHeight="false" outlineLevel="0" collapsed="false">
      <c r="B111" s="0" t="s">
        <v>204</v>
      </c>
      <c r="C111" s="0" t="s">
        <v>17</v>
      </c>
      <c r="D111" s="0" t="s">
        <v>14</v>
      </c>
      <c r="E111" s="0" t="n">
        <v>30</v>
      </c>
      <c r="F111" s="9" t="n">
        <v>44789</v>
      </c>
      <c r="G111" s="0" t="n">
        <v>114180</v>
      </c>
      <c r="H111" s="0" t="s">
        <v>15</v>
      </c>
      <c r="I111" s="0" t="str">
        <f aca="false">"IND"</f>
        <v>IND</v>
      </c>
      <c r="J111" s="0" t="n">
        <f aca="false">YEAR(India_staff[[#This Row],[Date Joined]])</f>
        <v>2022</v>
      </c>
      <c r="K111" s="0" t="n">
        <f aca="false">MONTH(India_staff[[#This Row],[Date Joined]])</f>
        <v>8</v>
      </c>
      <c r="L111" s="0" t="str">
        <f aca="false">TEXT(India_staff[[#This Row],[Date Joined]],"mmm")</f>
        <v>Aug</v>
      </c>
    </row>
    <row r="112" customFormat="false" ht="15" hidden="false" customHeight="false" outlineLevel="0" collapsed="false">
      <c r="B112" s="0" t="s">
        <v>203</v>
      </c>
      <c r="C112" s="0" t="s">
        <v>10</v>
      </c>
      <c r="D112" s="0" t="s">
        <v>25</v>
      </c>
      <c r="E112" s="0" t="n">
        <v>30</v>
      </c>
      <c r="F112" s="9" t="n">
        <v>44789</v>
      </c>
      <c r="G112" s="0" t="n">
        <v>69710</v>
      </c>
      <c r="H112" s="0" t="s">
        <v>15</v>
      </c>
      <c r="I112" s="0" t="str">
        <f aca="false">"IND"</f>
        <v>IND</v>
      </c>
      <c r="J112" s="0" t="n">
        <f aca="false">YEAR(India_staff[[#This Row],[Date Joined]])</f>
        <v>2022</v>
      </c>
      <c r="K112" s="0" t="n">
        <f aca="false">MONTH(India_staff[[#This Row],[Date Joined]])</f>
        <v>8</v>
      </c>
      <c r="L112" s="0" t="str">
        <f aca="false">TEXT(India_staff[[#This Row],[Date Joined]],"mmm")</f>
        <v>Aug</v>
      </c>
    </row>
    <row r="113" customFormat="false" ht="15" hidden="false" customHeight="false" outlineLevel="0" collapsed="false">
      <c r="B113" s="0" t="s">
        <v>205</v>
      </c>
      <c r="C113" s="0" t="s">
        <v>17</v>
      </c>
      <c r="D113" s="0" t="s">
        <v>14</v>
      </c>
      <c r="E113" s="0" t="n">
        <v>30</v>
      </c>
      <c r="F113" s="9" t="n">
        <v>44800</v>
      </c>
      <c r="G113" s="0" t="n">
        <v>112570</v>
      </c>
      <c r="H113" s="0" t="s">
        <v>15</v>
      </c>
      <c r="I113" s="0" t="str">
        <f aca="false">"IND"</f>
        <v>IND</v>
      </c>
      <c r="J113" s="0" t="n">
        <f aca="false">YEAR(India_staff[[#This Row],[Date Joined]])</f>
        <v>2022</v>
      </c>
      <c r="K113" s="0" t="n">
        <f aca="false">MONTH(India_staff[[#This Row],[Date Joined]])</f>
        <v>8</v>
      </c>
      <c r="L113" s="0" t="str">
        <f aca="false">TEXT(India_staff[[#This Row],[Date Joined]],"mmm")</f>
        <v>Aug</v>
      </c>
    </row>
    <row r="114" customFormat="false" ht="15" hidden="false" customHeight="false" outlineLevel="0" collapsed="false">
      <c r="B114" s="0" t="s">
        <v>206</v>
      </c>
      <c r="C114" s="0" t="s">
        <v>17</v>
      </c>
      <c r="D114" s="0" t="s">
        <v>25</v>
      </c>
      <c r="E114" s="0" t="n">
        <v>44</v>
      </c>
      <c r="F114" s="9" t="n">
        <v>44985</v>
      </c>
      <c r="G114" s="0" t="n">
        <v>114870</v>
      </c>
      <c r="H114" s="0" t="s">
        <v>15</v>
      </c>
      <c r="I114" s="0" t="str">
        <f aca="false">"IND"</f>
        <v>IND</v>
      </c>
      <c r="J114" s="0" t="n">
        <f aca="false">YEAR(India_staff[[#This Row],[Date Joined]])</f>
        <v>2023</v>
      </c>
      <c r="K114" s="0" t="n">
        <f aca="false">MONTH(India_staff[[#This Row],[Date Joined]])</f>
        <v>2</v>
      </c>
      <c r="L114" s="0" t="str">
        <f aca="false">TEXT(India_staff[[#This Row],[Date Joined]],"mmm")</f>
        <v>Feb</v>
      </c>
    </row>
  </sheetData>
  <conditionalFormatting sqref="B3:B114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1" activeCellId="0" sqref="O11"/>
    </sheetView>
  </sheetViews>
  <sheetFormatPr defaultRowHeight="15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4.7"/>
    <col collapsed="false" customWidth="true" hidden="false" outlineLevel="0" max="4" min="3" style="0" width="8.54"/>
    <col collapsed="false" customWidth="true" hidden="false" outlineLevel="0" max="5" min="5" style="0" width="15.15"/>
    <col collapsed="false" customWidth="true" hidden="false" outlineLevel="0" max="6" min="6" style="0" width="14.7"/>
    <col collapsed="false" customWidth="true" hidden="false" outlineLevel="0" max="1025" min="7" style="0" width="8.54"/>
  </cols>
  <sheetData>
    <row r="1" customFormat="false" ht="15" hidden="false" customHeight="false" outlineLevel="0" collapsed="false">
      <c r="A1" s="12" t="s">
        <v>8</v>
      </c>
      <c r="B1" s="13" t="s">
        <v>207</v>
      </c>
      <c r="E1" s="12" t="s">
        <v>8</v>
      </c>
      <c r="F1" s="13" t="s">
        <v>208</v>
      </c>
    </row>
    <row r="3" customFormat="false" ht="15" hidden="false" customHeight="false" outlineLevel="0" collapsed="false">
      <c r="A3" s="14" t="s">
        <v>3</v>
      </c>
      <c r="B3" s="15" t="s">
        <v>209</v>
      </c>
      <c r="E3" s="14" t="s">
        <v>3</v>
      </c>
      <c r="F3" s="15" t="s">
        <v>209</v>
      </c>
    </row>
    <row r="4" customFormat="false" ht="15" hidden="false" customHeight="false" outlineLevel="0" collapsed="false">
      <c r="A4" s="16" t="s">
        <v>14</v>
      </c>
      <c r="B4" s="17" t="n">
        <v>27</v>
      </c>
      <c r="E4" s="16" t="s">
        <v>14</v>
      </c>
      <c r="F4" s="17" t="n">
        <v>29</v>
      </c>
    </row>
    <row r="5" customFormat="false" ht="15" hidden="false" customHeight="false" outlineLevel="0" collapsed="false">
      <c r="A5" s="18" t="s">
        <v>25</v>
      </c>
      <c r="B5" s="19" t="n">
        <v>27</v>
      </c>
      <c r="E5" s="18" t="s">
        <v>25</v>
      </c>
      <c r="F5" s="19" t="n">
        <v>27</v>
      </c>
    </row>
    <row r="6" customFormat="false" ht="15" hidden="false" customHeight="false" outlineLevel="0" collapsed="false">
      <c r="A6" s="18" t="s">
        <v>19</v>
      </c>
      <c r="B6" s="19" t="n">
        <v>19</v>
      </c>
      <c r="E6" s="18" t="s">
        <v>19</v>
      </c>
      <c r="F6" s="19" t="n">
        <v>19</v>
      </c>
    </row>
    <row r="7" customFormat="false" ht="15" hidden="false" customHeight="false" outlineLevel="0" collapsed="false">
      <c r="A7" s="18" t="s">
        <v>11</v>
      </c>
      <c r="B7" s="19" t="n">
        <v>14</v>
      </c>
      <c r="E7" s="18" t="s">
        <v>11</v>
      </c>
      <c r="F7" s="19" t="n">
        <v>14</v>
      </c>
    </row>
    <row r="8" customFormat="false" ht="15" hidden="false" customHeight="false" outlineLevel="0" collapsed="false">
      <c r="A8" s="18" t="s">
        <v>28</v>
      </c>
      <c r="B8" s="20" t="n">
        <v>4</v>
      </c>
      <c r="E8" s="18" t="s">
        <v>28</v>
      </c>
      <c r="F8" s="20" t="n">
        <v>4</v>
      </c>
    </row>
    <row r="9" customFormat="false" ht="15" hidden="false" customHeight="false" outlineLevel="0" collapsed="false">
      <c r="A9" s="21" t="s">
        <v>210</v>
      </c>
      <c r="B9" s="22" t="n">
        <v>91</v>
      </c>
      <c r="E9" s="21" t="s">
        <v>210</v>
      </c>
      <c r="F9" s="22" t="n">
        <v>93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V1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RowHeight="15" zeroHeight="false" outlineLevelRow="0" outlineLevelCol="0"/>
  <cols>
    <col collapsed="false" customWidth="true" hidden="false" outlineLevel="0" max="1" min="1" style="0" width="8.54"/>
    <col collapsed="false" customWidth="true" hidden="false" outlineLevel="0" max="2" min="2" style="0" width="30.01"/>
    <col collapsed="false" customWidth="true" hidden="false" outlineLevel="0" max="3" min="3" style="0" width="12.71"/>
    <col collapsed="false" customWidth="true" hidden="false" outlineLevel="0" max="4" min="4" style="0" width="14.28"/>
    <col collapsed="false" customWidth="true" hidden="false" outlineLevel="0" max="5" min="5" style="23" width="14.86"/>
    <col collapsed="false" customWidth="true" hidden="false" outlineLevel="0" max="6" min="6" style="24" width="13.86"/>
    <col collapsed="false" customWidth="true" hidden="false" outlineLevel="0" max="7" min="7" style="25" width="18.14"/>
    <col collapsed="false" customWidth="true" hidden="false" outlineLevel="0" max="8" min="8" style="0" width="16.42"/>
    <col collapsed="false" customWidth="true" hidden="false" outlineLevel="0" max="9" min="9" style="0" width="11.71"/>
    <col collapsed="false" customWidth="true" hidden="false" outlineLevel="0" max="11" min="10" style="23" width="10.71"/>
    <col collapsed="false" customWidth="true" hidden="false" outlineLevel="0" max="12" min="12" style="23" width="16.57"/>
    <col collapsed="false" customWidth="true" hidden="false" outlineLevel="0" max="13" min="13" style="23" width="15.42"/>
    <col collapsed="false" customWidth="true" hidden="false" outlineLevel="0" max="14" min="14" style="0" width="8.54"/>
    <col collapsed="false" customWidth="true" hidden="false" outlineLevel="0" max="15" min="15" style="0" width="18.85"/>
    <col collapsed="false" customWidth="true" hidden="false" outlineLevel="0" max="16" min="16" style="0" width="12.29"/>
    <col collapsed="false" customWidth="true" hidden="false" outlineLevel="0" max="1025" min="17" style="0" width="8.54"/>
  </cols>
  <sheetData>
    <row r="1" customFormat="false" ht="15" hidden="false" customHeight="false" outlineLevel="0" collapsed="false">
      <c r="D1" s="23"/>
    </row>
    <row r="2" customFormat="false" ht="15" hidden="false" customHeight="false" outlineLevel="0" collapsed="false">
      <c r="B2" s="6" t="s">
        <v>1</v>
      </c>
      <c r="C2" s="6" t="s">
        <v>2</v>
      </c>
      <c r="D2" s="6" t="s">
        <v>3</v>
      </c>
      <c r="E2" s="26" t="s">
        <v>4</v>
      </c>
      <c r="F2" s="27" t="s">
        <v>5</v>
      </c>
      <c r="G2" s="28" t="s">
        <v>6</v>
      </c>
      <c r="H2" s="6" t="s">
        <v>7</v>
      </c>
      <c r="I2" s="6" t="s">
        <v>8</v>
      </c>
      <c r="J2" s="26" t="s">
        <v>211</v>
      </c>
      <c r="K2" s="26" t="s">
        <v>212</v>
      </c>
      <c r="L2" s="26" t="s">
        <v>213</v>
      </c>
      <c r="N2" s="29" t="n">
        <v>1</v>
      </c>
      <c r="O2" s="0" t="s">
        <v>214</v>
      </c>
      <c r="Q2" s="0" t="n">
        <f aca="false">COUNTA(staff[Name])</f>
        <v>184</v>
      </c>
    </row>
    <row r="3" customFormat="false" ht="15" hidden="false" customHeight="false" outlineLevel="0" collapsed="false">
      <c r="B3" s="0" t="s">
        <v>95</v>
      </c>
      <c r="C3" s="0" t="s">
        <v>17</v>
      </c>
      <c r="D3" s="0" t="s">
        <v>25</v>
      </c>
      <c r="E3" s="23" t="n">
        <v>21</v>
      </c>
      <c r="F3" s="24" t="n">
        <v>44678</v>
      </c>
      <c r="G3" s="30" t="n">
        <v>33920</v>
      </c>
      <c r="H3" s="0" t="s">
        <v>15</v>
      </c>
      <c r="I3" s="0" t="str">
        <f aca="false">"IND"</f>
        <v>IND</v>
      </c>
      <c r="J3" s="23" t="n">
        <f aca="false">TODAY()-staff[[#This Row],[Date Joined]]</f>
        <v>1291</v>
      </c>
      <c r="K3" s="23" t="n">
        <f aca="false">ROUNDUP(IF(staff[[#This Row],[Tenure]]&gt;2,3%,2%)*staff[[#This Row],[Salary]],0)</f>
        <v>1018</v>
      </c>
      <c r="L3" s="23" t="n">
        <f aca="false">_xlfn.xlookup(staff[[#This Row],[Rating]],Sheet2!$B$3:$B$7,Sheet2!$C$3:$C$7)</f>
        <v>3</v>
      </c>
      <c r="O3" s="0" t="s">
        <v>215</v>
      </c>
      <c r="Q3" s="25" t="n">
        <f aca="false">AVERAGE(staff[Salary])</f>
        <v>77366.5217391304</v>
      </c>
      <c r="R3" s="25" t="n">
        <f aca="false">MEDIAN(G:G)</f>
        <v>75280</v>
      </c>
    </row>
    <row r="4" customFormat="false" ht="15" hidden="false" customHeight="false" outlineLevel="0" collapsed="false">
      <c r="B4" s="0" t="s">
        <v>183</v>
      </c>
      <c r="C4" s="0" t="s">
        <v>17</v>
      </c>
      <c r="D4" s="0" t="s">
        <v>25</v>
      </c>
      <c r="E4" s="23" t="n">
        <v>21</v>
      </c>
      <c r="F4" s="24" t="n">
        <v>44619</v>
      </c>
      <c r="G4" s="30" t="n">
        <v>33920</v>
      </c>
      <c r="H4" s="0" t="s">
        <v>15</v>
      </c>
      <c r="I4" s="0" t="s">
        <v>208</v>
      </c>
      <c r="J4" s="23" t="n">
        <f aca="false">TODAY()-staff[[#This Row],[Date Joined]]</f>
        <v>1350</v>
      </c>
      <c r="K4" s="23" t="n">
        <f aca="false">ROUNDUP(IF(staff[[#This Row],[Tenure]]&gt;2,3%,2%)*staff[[#This Row],[Salary]],0)</f>
        <v>1018</v>
      </c>
      <c r="L4" s="23" t="n">
        <f aca="false">_xlfn.xlookup(staff[[#This Row],[Rating]],Sheet2!$B$3:$B$7,Sheet2!$C$3:$C$7)</f>
        <v>3</v>
      </c>
      <c r="O4" s="0" t="s">
        <v>216</v>
      </c>
      <c r="Q4" s="31" t="n">
        <f aca="false">AVERAGE(E:E)</f>
        <v>30.445652173913</v>
      </c>
      <c r="R4" s="31" t="n">
        <f aca="false">MEDIAN(E:E)</f>
        <v>30</v>
      </c>
    </row>
    <row r="5" customFormat="false" ht="15" hidden="false" customHeight="false" outlineLevel="0" collapsed="false">
      <c r="B5" s="0" t="s">
        <v>47</v>
      </c>
      <c r="C5" s="0" t="s">
        <v>17</v>
      </c>
      <c r="D5" s="0" t="s">
        <v>25</v>
      </c>
      <c r="E5" s="23" t="n">
        <v>29</v>
      </c>
      <c r="F5" s="24" t="n">
        <v>44023</v>
      </c>
      <c r="G5" s="30" t="n">
        <v>34980</v>
      </c>
      <c r="H5" s="0" t="s">
        <v>15</v>
      </c>
      <c r="I5" s="0" t="str">
        <f aca="false">"IND"</f>
        <v>IND</v>
      </c>
      <c r="J5" s="23" t="n">
        <f aca="false">TODAY()-staff[[#This Row],[Date Joined]]</f>
        <v>1946</v>
      </c>
      <c r="K5" s="23" t="n">
        <f aca="false">ROUNDUP(IF(staff[[#This Row],[Tenure]]&gt;2,3%,2%)*staff[[#This Row],[Salary]],0)</f>
        <v>1050</v>
      </c>
      <c r="L5" s="23" t="n">
        <f aca="false">_xlfn.xlookup(staff[[#This Row],[Rating]],Sheet2!$B$3:$B$7,Sheet2!$C$3:$C$7)</f>
        <v>3</v>
      </c>
      <c r="O5" s="0" t="s">
        <v>217</v>
      </c>
      <c r="Q5" s="23" t="n">
        <f aca="false">AVERAGE(J:J)</f>
        <v>1534.5</v>
      </c>
    </row>
    <row r="6" customFormat="false" ht="15" hidden="false" customHeight="false" outlineLevel="0" collapsed="false">
      <c r="B6" s="32" t="s">
        <v>116</v>
      </c>
      <c r="C6" s="32" t="s">
        <v>17</v>
      </c>
      <c r="D6" s="32" t="s">
        <v>25</v>
      </c>
      <c r="E6" s="33" t="n">
        <v>29</v>
      </c>
      <c r="F6" s="34" t="n">
        <v>43962</v>
      </c>
      <c r="G6" s="35" t="n">
        <v>34980</v>
      </c>
      <c r="H6" s="32" t="s">
        <v>15</v>
      </c>
      <c r="I6" s="32" t="s">
        <v>208</v>
      </c>
      <c r="J6" s="23" t="n">
        <f aca="false">TODAY()-staff[[#This Row],[Date Joined]]</f>
        <v>2007</v>
      </c>
      <c r="K6" s="23" t="n">
        <f aca="false">ROUNDUP(IF(staff[[#This Row],[Tenure]]&gt;2,3%,2%)*staff[[#This Row],[Salary]],0)</f>
        <v>1050</v>
      </c>
      <c r="L6" s="23" t="n">
        <f aca="false">_xlfn.xlookup(staff[[#This Row],[Rating]],Sheet2!$B$3:$B$7,Sheet2!$C$3:$C$7)</f>
        <v>3</v>
      </c>
      <c r="O6" s="0" t="s">
        <v>218</v>
      </c>
    </row>
    <row r="7" customFormat="false" ht="15" hidden="false" customHeight="false" outlineLevel="0" collapsed="false">
      <c r="B7" s="0" t="s">
        <v>99</v>
      </c>
      <c r="C7" s="0" t="s">
        <v>10</v>
      </c>
      <c r="D7" s="0" t="s">
        <v>11</v>
      </c>
      <c r="E7" s="23" t="n">
        <v>43</v>
      </c>
      <c r="F7" s="24" t="n">
        <v>44620</v>
      </c>
      <c r="G7" s="30" t="n">
        <v>36040</v>
      </c>
      <c r="H7" s="0" t="s">
        <v>15</v>
      </c>
      <c r="I7" s="0" t="str">
        <f aca="false">"IND"</f>
        <v>IND</v>
      </c>
      <c r="J7" s="23" t="n">
        <f aca="false">TODAY()-staff[[#This Row],[Date Joined]]</f>
        <v>1349</v>
      </c>
      <c r="K7" s="23" t="n">
        <f aca="false">ROUNDUP(IF(staff[[#This Row],[Tenure]]&gt;2,3%,2%)*staff[[#This Row],[Salary]],0)</f>
        <v>1082</v>
      </c>
      <c r="L7" s="23" t="n">
        <f aca="false">_xlfn.xlookup(staff[[#This Row],[Rating]],Sheet2!$B$3:$B$7,Sheet2!$C$3:$C$7)</f>
        <v>3</v>
      </c>
      <c r="O7" s="0" t="s">
        <v>219</v>
      </c>
      <c r="Q7" s="0" t="n">
        <f aca="false">COUNTIFS(staff[Gender],"Female")</f>
        <v>86</v>
      </c>
    </row>
    <row r="8" customFormat="false" ht="15" hidden="false" customHeight="false" outlineLevel="0" collapsed="false">
      <c r="B8" s="32" t="s">
        <v>177</v>
      </c>
      <c r="C8" s="32" t="s">
        <v>10</v>
      </c>
      <c r="D8" s="32" t="s">
        <v>11</v>
      </c>
      <c r="E8" s="33" t="n">
        <v>43</v>
      </c>
      <c r="F8" s="34" t="n">
        <v>44558</v>
      </c>
      <c r="G8" s="35" t="n">
        <v>36040</v>
      </c>
      <c r="H8" s="32" t="s">
        <v>15</v>
      </c>
      <c r="I8" s="32" t="s">
        <v>208</v>
      </c>
      <c r="J8" s="23" t="n">
        <f aca="false">TODAY()-staff[[#This Row],[Date Joined]]</f>
        <v>1411</v>
      </c>
      <c r="K8" s="23" t="n">
        <f aca="false">ROUNDUP(IF(staff[[#This Row],[Tenure]]&gt;2,3%,2%)*staff[[#This Row],[Salary]],0)</f>
        <v>1082</v>
      </c>
      <c r="L8" s="23" t="n">
        <f aca="false">_xlfn.xlookup(staff[[#This Row],[Rating]],Sheet2!$B$3:$B$7,Sheet2!$C$3:$C$7)</f>
        <v>3</v>
      </c>
      <c r="O8" s="0" t="s">
        <v>220</v>
      </c>
      <c r="Q8" s="36" t="n">
        <f aca="false">Q7/184</f>
        <v>0.467391304347826</v>
      </c>
    </row>
    <row r="9" customFormat="false" ht="15" hidden="false" customHeight="false" outlineLevel="0" collapsed="false">
      <c r="B9" s="0" t="s">
        <v>35</v>
      </c>
      <c r="C9" s="0" t="s">
        <v>10</v>
      </c>
      <c r="D9" s="0" t="s">
        <v>14</v>
      </c>
      <c r="E9" s="23" t="n">
        <v>21</v>
      </c>
      <c r="F9" s="24" t="n">
        <v>44104</v>
      </c>
      <c r="G9" s="30" t="n">
        <v>37920</v>
      </c>
      <c r="H9" s="0" t="s">
        <v>15</v>
      </c>
      <c r="I9" s="0" t="str">
        <f aca="false">"IND"</f>
        <v>IND</v>
      </c>
      <c r="J9" s="23" t="n">
        <f aca="false">TODAY()-staff[[#This Row],[Date Joined]]</f>
        <v>1865</v>
      </c>
      <c r="K9" s="23" t="n">
        <f aca="false">ROUNDUP(IF(staff[[#This Row],[Tenure]]&gt;2,3%,2%)*staff[[#This Row],[Salary]],0)</f>
        <v>1138</v>
      </c>
      <c r="L9" s="23" t="n">
        <f aca="false">_xlfn.xlookup(staff[[#This Row],[Rating]],Sheet2!$B$3:$B$7,Sheet2!$C$3:$C$7)</f>
        <v>3</v>
      </c>
    </row>
    <row r="10" customFormat="false" ht="15" hidden="false" customHeight="false" outlineLevel="0" collapsed="false">
      <c r="B10" s="0" t="s">
        <v>120</v>
      </c>
      <c r="C10" s="0" t="s">
        <v>10</v>
      </c>
      <c r="D10" s="0" t="s">
        <v>14</v>
      </c>
      <c r="E10" s="23" t="n">
        <v>21</v>
      </c>
      <c r="F10" s="24" t="n">
        <v>44042</v>
      </c>
      <c r="G10" s="30" t="n">
        <v>37920</v>
      </c>
      <c r="H10" s="0" t="s">
        <v>15</v>
      </c>
      <c r="I10" s="0" t="s">
        <v>208</v>
      </c>
      <c r="J10" s="23" t="n">
        <f aca="false">TODAY()-staff[[#This Row],[Date Joined]]</f>
        <v>1927</v>
      </c>
      <c r="K10" s="23" t="n">
        <f aca="false">ROUNDUP(IF(staff[[#This Row],[Tenure]]&gt;2,3%,2%)*staff[[#This Row],[Salary]],0)</f>
        <v>1138</v>
      </c>
      <c r="L10" s="23" t="n">
        <f aca="false">_xlfn.xlookup(staff[[#This Row],[Rating]],Sheet2!$B$3:$B$7,Sheet2!$C$3:$C$7)</f>
        <v>3</v>
      </c>
      <c r="O10" s="0" t="s">
        <v>221</v>
      </c>
      <c r="Q10" s="37" t="n">
        <f aca="false">COUNTIFS(staff[Salary],"&gt;90000") / COUNTA(staff[Salary])</f>
        <v>0.347826086956522</v>
      </c>
    </row>
    <row r="11" customFormat="false" ht="15" hidden="false" customHeight="false" outlineLevel="0" collapsed="false">
      <c r="B11" s="0" t="s">
        <v>97</v>
      </c>
      <c r="C11" s="0" t="s">
        <v>10</v>
      </c>
      <c r="D11" s="0" t="s">
        <v>14</v>
      </c>
      <c r="E11" s="23" t="n">
        <v>35</v>
      </c>
      <c r="F11" s="24" t="n">
        <v>44727</v>
      </c>
      <c r="G11" s="30" t="n">
        <v>40400</v>
      </c>
      <c r="H11" s="0" t="s">
        <v>15</v>
      </c>
      <c r="I11" s="0" t="str">
        <f aca="false">"IND"</f>
        <v>IND</v>
      </c>
      <c r="J11" s="23" t="n">
        <f aca="false">TODAY()-staff[[#This Row],[Date Joined]]</f>
        <v>1242</v>
      </c>
      <c r="K11" s="23" t="n">
        <f aca="false">ROUNDUP(IF(staff[[#This Row],[Tenure]]&gt;2,3%,2%)*staff[[#This Row],[Salary]],0)</f>
        <v>1212</v>
      </c>
      <c r="L11" s="23" t="n">
        <f aca="false">_xlfn.xlookup(staff[[#This Row],[Rating]],Sheet2!$B$3:$B$7,Sheet2!$C$3:$C$7)</f>
        <v>3</v>
      </c>
    </row>
    <row r="12" customFormat="false" ht="15" hidden="false" customHeight="false" outlineLevel="0" collapsed="false">
      <c r="B12" s="32" t="s">
        <v>194</v>
      </c>
      <c r="C12" s="32" t="s">
        <v>10</v>
      </c>
      <c r="D12" s="32" t="s">
        <v>14</v>
      </c>
      <c r="E12" s="33" t="n">
        <v>35</v>
      </c>
      <c r="F12" s="34" t="n">
        <v>44666</v>
      </c>
      <c r="G12" s="35" t="n">
        <v>40400</v>
      </c>
      <c r="H12" s="32" t="s">
        <v>15</v>
      </c>
      <c r="I12" s="32" t="s">
        <v>208</v>
      </c>
      <c r="J12" s="23" t="n">
        <f aca="false">TODAY()-staff[[#This Row],[Date Joined]]</f>
        <v>1303</v>
      </c>
      <c r="K12" s="23" t="n">
        <f aca="false">ROUNDUP(IF(staff[[#This Row],[Tenure]]&gt;2,3%,2%)*staff[[#This Row],[Salary]],0)</f>
        <v>1212</v>
      </c>
      <c r="L12" s="23" t="n">
        <f aca="false">_xlfn.xlookup(staff[[#This Row],[Rating]],Sheet2!$B$3:$B$7,Sheet2!$C$3:$C$7)</f>
        <v>3</v>
      </c>
      <c r="N12" s="29" t="n">
        <v>2</v>
      </c>
    </row>
    <row r="13" customFormat="false" ht="15" hidden="false" customHeight="false" outlineLevel="0" collapsed="false">
      <c r="B13" s="0" t="s">
        <v>106</v>
      </c>
      <c r="C13" s="0" t="s">
        <v>17</v>
      </c>
      <c r="D13" s="0" t="s">
        <v>14</v>
      </c>
      <c r="E13" s="23" t="n">
        <v>32</v>
      </c>
      <c r="F13" s="24" t="n">
        <v>44611</v>
      </c>
      <c r="G13" s="30" t="n">
        <v>41570</v>
      </c>
      <c r="H13" s="0" t="s">
        <v>15</v>
      </c>
      <c r="I13" s="0" t="str">
        <f aca="false">"IND"</f>
        <v>IND</v>
      </c>
      <c r="J13" s="23" t="n">
        <f aca="false">TODAY()-staff[[#This Row],[Date Joined]]</f>
        <v>1358</v>
      </c>
      <c r="K13" s="23" t="n">
        <f aca="false">ROUNDUP(IF(staff[[#This Row],[Tenure]]&gt;2,3%,2%)*staff[[#This Row],[Salary]],0)</f>
        <v>1248</v>
      </c>
      <c r="L13" s="23" t="n">
        <f aca="false">_xlfn.xlookup(staff[[#This Row],[Rating]],Sheet2!$B$3:$B$7,Sheet2!$C$3:$C$7)</f>
        <v>3</v>
      </c>
      <c r="O13" s="38" t="s">
        <v>9</v>
      </c>
    </row>
    <row r="14" customFormat="false" ht="15" hidden="false" customHeight="false" outlineLevel="0" collapsed="false">
      <c r="B14" s="32" t="s">
        <v>175</v>
      </c>
      <c r="C14" s="32" t="s">
        <v>17</v>
      </c>
      <c r="D14" s="32" t="s">
        <v>14</v>
      </c>
      <c r="E14" s="33" t="n">
        <v>32</v>
      </c>
      <c r="F14" s="34" t="n">
        <v>44549</v>
      </c>
      <c r="G14" s="35" t="n">
        <v>41570</v>
      </c>
      <c r="H14" s="32" t="s">
        <v>15</v>
      </c>
      <c r="I14" s="32" t="s">
        <v>208</v>
      </c>
      <c r="J14" s="23" t="n">
        <f aca="false">TODAY()-staff[[#This Row],[Date Joined]]</f>
        <v>1420</v>
      </c>
      <c r="K14" s="23" t="n">
        <f aca="false">ROUNDUP(IF(staff[[#This Row],[Tenure]]&gt;2,3%,2%)*staff[[#This Row],[Salary]],0)</f>
        <v>1248</v>
      </c>
      <c r="L14" s="23" t="n">
        <f aca="false">_xlfn.xlookup(staff[[#This Row],[Rating]],Sheet2!$B$3:$B$7,Sheet2!$C$3:$C$7)</f>
        <v>3</v>
      </c>
    </row>
    <row r="15" customFormat="false" ht="15" hidden="false" customHeight="false" outlineLevel="0" collapsed="false">
      <c r="B15" s="0" t="s">
        <v>37</v>
      </c>
      <c r="C15" s="0" t="s">
        <v>17</v>
      </c>
      <c r="D15" s="0" t="s">
        <v>25</v>
      </c>
      <c r="E15" s="23" t="n">
        <v>31</v>
      </c>
      <c r="F15" s="24" t="n">
        <v>44145</v>
      </c>
      <c r="G15" s="30" t="n">
        <v>41980</v>
      </c>
      <c r="H15" s="0" t="s">
        <v>15</v>
      </c>
      <c r="I15" s="0" t="str">
        <f aca="false">"IND"</f>
        <v>IND</v>
      </c>
      <c r="J15" s="23" t="n">
        <f aca="false">TODAY()-staff[[#This Row],[Date Joined]]</f>
        <v>1824</v>
      </c>
      <c r="K15" s="23" t="n">
        <f aca="false">ROUNDUP(IF(staff[[#This Row],[Tenure]]&gt;2,3%,2%)*staff[[#This Row],[Salary]],0)</f>
        <v>1260</v>
      </c>
      <c r="L15" s="23" t="n">
        <f aca="false">_xlfn.xlookup(staff[[#This Row],[Rating]],Sheet2!$B$3:$B$7,Sheet2!$C$3:$C$7)</f>
        <v>3</v>
      </c>
      <c r="O15" s="0" t="s">
        <v>222</v>
      </c>
    </row>
    <row r="16" customFormat="false" ht="15" hidden="false" customHeight="false" outlineLevel="0" collapsed="false">
      <c r="B16" s="0" t="s">
        <v>123</v>
      </c>
      <c r="C16" s="0" t="s">
        <v>17</v>
      </c>
      <c r="D16" s="0" t="s">
        <v>25</v>
      </c>
      <c r="E16" s="23" t="n">
        <v>31</v>
      </c>
      <c r="F16" s="24" t="n">
        <v>44084</v>
      </c>
      <c r="G16" s="30" t="n">
        <v>41980</v>
      </c>
      <c r="H16" s="0" t="s">
        <v>15</v>
      </c>
      <c r="I16" s="0" t="s">
        <v>208</v>
      </c>
      <c r="J16" s="23" t="n">
        <f aca="false">TODAY()-staff[[#This Row],[Date Joined]]</f>
        <v>1885</v>
      </c>
      <c r="K16" s="23" t="n">
        <f aca="false">ROUNDUP(IF(staff[[#This Row],[Tenure]]&gt;2,3%,2%)*staff[[#This Row],[Salary]],0)</f>
        <v>1260</v>
      </c>
      <c r="L16" s="23" t="n">
        <f aca="false">_xlfn.xlookup(staff[[#This Row],[Rating]],Sheet2!$B$3:$B$7,Sheet2!$C$3:$C$7)</f>
        <v>3</v>
      </c>
      <c r="O16" s="0" t="s">
        <v>223</v>
      </c>
    </row>
    <row r="17" customFormat="false" ht="15" hidden="false" customHeight="false" outlineLevel="0" collapsed="false">
      <c r="B17" s="0" t="s">
        <v>103</v>
      </c>
      <c r="C17" s="0" t="s">
        <v>10</v>
      </c>
      <c r="D17" s="0" t="s">
        <v>11</v>
      </c>
      <c r="E17" s="23" t="n">
        <v>28</v>
      </c>
      <c r="F17" s="24" t="n">
        <v>44820</v>
      </c>
      <c r="G17" s="30" t="n">
        <v>43510</v>
      </c>
      <c r="H17" s="0" t="s">
        <v>51</v>
      </c>
      <c r="I17" s="0" t="str">
        <f aca="false">"IND"</f>
        <v>IND</v>
      </c>
      <c r="J17" s="23" t="n">
        <f aca="false">TODAY()-staff[[#This Row],[Date Joined]]</f>
        <v>1149</v>
      </c>
      <c r="K17" s="23" t="n">
        <f aca="false">ROUNDUP(IF(staff[[#This Row],[Tenure]]&gt;2,3%,2%)*staff[[#This Row],[Salary]],0)</f>
        <v>1306</v>
      </c>
      <c r="L17" s="23" t="n">
        <f aca="false">_xlfn.xlookup(staff[[#This Row],[Rating]],Sheet2!$B$3:$B$7,Sheet2!$C$3:$C$7)</f>
        <v>1</v>
      </c>
    </row>
    <row r="18" customFormat="false" ht="15" hidden="false" customHeight="false" outlineLevel="0" collapsed="false">
      <c r="B18" s="32" t="s">
        <v>202</v>
      </c>
      <c r="C18" s="32" t="s">
        <v>10</v>
      </c>
      <c r="D18" s="32" t="s">
        <v>11</v>
      </c>
      <c r="E18" s="33" t="n">
        <v>28</v>
      </c>
      <c r="F18" s="34" t="n">
        <v>44758</v>
      </c>
      <c r="G18" s="35" t="n">
        <v>43510</v>
      </c>
      <c r="H18" s="32" t="s">
        <v>51</v>
      </c>
      <c r="I18" s="32" t="s">
        <v>208</v>
      </c>
      <c r="J18" s="23" t="n">
        <f aca="false">TODAY()-staff[[#This Row],[Date Joined]]</f>
        <v>1211</v>
      </c>
      <c r="K18" s="23" t="n">
        <f aca="false">ROUNDUP(IF(staff[[#This Row],[Tenure]]&gt;2,3%,2%)*staff[[#This Row],[Salary]],0)</f>
        <v>1306</v>
      </c>
      <c r="L18" s="23" t="n">
        <f aca="false">_xlfn.xlookup(staff[[#This Row],[Rating]],Sheet2!$B$3:$B$7,Sheet2!$C$3:$C$7)</f>
        <v>1</v>
      </c>
      <c r="O18" s="0" t="e">
        <f aca="false" t="array" ref="O18:V18">_xlfn.xlookup(O13,staff[Name],staff[[Gender]:[Tenure]])</f>
        <v>#NAME?</v>
      </c>
      <c r="P18" s="0" t="e">
        <v>#NAME?</v>
      </c>
      <c r="Q18" s="0" t="e">
        <v>#NAME?</v>
      </c>
      <c r="R18" s="0" t="e">
        <v>#NAME?</v>
      </c>
      <c r="S18" s="0" t="e">
        <v>#NAME?</v>
      </c>
      <c r="T18" s="0" t="e">
        <v>#NAME?</v>
      </c>
      <c r="U18" s="0" t="e">
        <v>#NAME?</v>
      </c>
      <c r="V18" s="0" t="e">
        <v>#NAME?</v>
      </c>
    </row>
    <row r="19" customFormat="false" ht="15" hidden="false" customHeight="false" outlineLevel="0" collapsed="false">
      <c r="B19" s="0" t="s">
        <v>33</v>
      </c>
      <c r="C19" s="0" t="s">
        <v>17</v>
      </c>
      <c r="D19" s="0" t="s">
        <v>25</v>
      </c>
      <c r="E19" s="23" t="n">
        <v>32</v>
      </c>
      <c r="F19" s="24" t="n">
        <v>44354</v>
      </c>
      <c r="G19" s="30" t="n">
        <v>43840</v>
      </c>
      <c r="H19" s="0" t="s">
        <v>12</v>
      </c>
      <c r="I19" s="0" t="str">
        <f aca="false">"IND"</f>
        <v>IND</v>
      </c>
      <c r="J19" s="23" t="n">
        <f aca="false">TODAY()-staff[[#This Row],[Date Joined]]</f>
        <v>1615</v>
      </c>
      <c r="K19" s="23" t="n">
        <f aca="false">ROUNDUP(IF(staff[[#This Row],[Tenure]]&gt;2,3%,2%)*staff[[#This Row],[Salary]],0)</f>
        <v>1316</v>
      </c>
      <c r="L19" s="23" t="n">
        <f aca="false">_xlfn.xlookup(staff[[#This Row],[Rating]],Sheet2!$B$3:$B$7,Sheet2!$C$3:$C$7)</f>
        <v>4</v>
      </c>
    </row>
    <row r="20" customFormat="false" ht="15" hidden="false" customHeight="false" outlineLevel="0" collapsed="false">
      <c r="B20" s="0" t="s">
        <v>146</v>
      </c>
      <c r="C20" s="0" t="s">
        <v>17</v>
      </c>
      <c r="D20" s="0" t="s">
        <v>25</v>
      </c>
      <c r="E20" s="23" t="n">
        <v>32</v>
      </c>
      <c r="F20" s="24" t="n">
        <v>44293</v>
      </c>
      <c r="G20" s="25" t="n">
        <v>43840</v>
      </c>
      <c r="H20" s="0" t="s">
        <v>12</v>
      </c>
      <c r="I20" s="0" t="s">
        <v>208</v>
      </c>
      <c r="J20" s="23" t="n">
        <f aca="false">TODAY()-staff[[#This Row],[Date Joined]]</f>
        <v>1676</v>
      </c>
      <c r="K20" s="23" t="n">
        <f aca="false">ROUNDUP(IF(staff[[#This Row],[Tenure]]&gt;2,3%,2%)*staff[[#This Row],[Salary]],0)</f>
        <v>1316</v>
      </c>
      <c r="L20" s="23" t="n">
        <f aca="false">_xlfn.xlookup(staff[[#This Row],[Rating]],Sheet2!$B$3:$B$7,Sheet2!$C$3:$C$7)</f>
        <v>4</v>
      </c>
      <c r="O20" s="0" t="s">
        <v>2</v>
      </c>
      <c r="P20" s="0" t="e">
        <f aca="false" t="array" ref="P20:P27">TRANSPOSE(_xlfn.xlookup(O13,staff[Name],staff[[Gender]:[Tenure]]))</f>
        <v>#NAME?</v>
      </c>
    </row>
    <row r="21" customFormat="false" ht="15" hidden="false" customHeight="false" outlineLevel="0" collapsed="false">
      <c r="B21" s="0" t="s">
        <v>72</v>
      </c>
      <c r="C21" s="0" t="s">
        <v>17</v>
      </c>
      <c r="D21" s="0" t="s">
        <v>28</v>
      </c>
      <c r="E21" s="23" t="n">
        <v>32</v>
      </c>
      <c r="F21" s="24" t="n">
        <v>44400</v>
      </c>
      <c r="G21" s="30" t="n">
        <v>45510</v>
      </c>
      <c r="H21" s="0" t="s">
        <v>15</v>
      </c>
      <c r="I21" s="0" t="str">
        <f aca="false">"IND"</f>
        <v>IND</v>
      </c>
      <c r="J21" s="23" t="n">
        <f aca="false">TODAY()-staff[[#This Row],[Date Joined]]</f>
        <v>1569</v>
      </c>
      <c r="K21" s="23" t="n">
        <f aca="false">ROUNDUP(IF(staff[[#This Row],[Tenure]]&gt;2,3%,2%)*staff[[#This Row],[Salary]],0)</f>
        <v>1366</v>
      </c>
      <c r="L21" s="23" t="n">
        <f aca="false">_xlfn.xlookup(staff[[#This Row],[Rating]],Sheet2!$B$3:$B$7,Sheet2!$C$3:$C$7)</f>
        <v>3</v>
      </c>
      <c r="O21" s="0" t="s">
        <v>3</v>
      </c>
      <c r="P21" s="0" t="str">
        <v>Sales</v>
      </c>
    </row>
    <row r="22" customFormat="false" ht="15" hidden="false" customHeight="false" outlineLevel="0" collapsed="false">
      <c r="B22" s="0" t="s">
        <v>154</v>
      </c>
      <c r="C22" s="0" t="s">
        <v>17</v>
      </c>
      <c r="D22" s="0" t="s">
        <v>28</v>
      </c>
      <c r="E22" s="23" t="n">
        <v>32</v>
      </c>
      <c r="F22" s="24" t="n">
        <v>44339</v>
      </c>
      <c r="G22" s="25" t="n">
        <v>45510</v>
      </c>
      <c r="H22" s="0" t="s">
        <v>15</v>
      </c>
      <c r="I22" s="0" t="s">
        <v>208</v>
      </c>
      <c r="J22" s="23" t="n">
        <f aca="false">TODAY()-staff[[#This Row],[Date Joined]]</f>
        <v>1630</v>
      </c>
      <c r="K22" s="23" t="n">
        <f aca="false">ROUNDUP(IF(staff[[#This Row],[Tenure]]&gt;2,3%,2%)*staff[[#This Row],[Salary]],0)</f>
        <v>1366</v>
      </c>
      <c r="L22" s="23" t="n">
        <f aca="false">_xlfn.xlookup(staff[[#This Row],[Rating]],Sheet2!$B$3:$B$7,Sheet2!$C$3:$C$7)</f>
        <v>3</v>
      </c>
      <c r="O22" s="0" t="s">
        <v>4</v>
      </c>
      <c r="P22" s="0" t="n">
        <v>22</v>
      </c>
    </row>
    <row r="23" customFormat="false" ht="15" hidden="false" customHeight="false" outlineLevel="0" collapsed="false">
      <c r="B23" s="0" t="s">
        <v>89</v>
      </c>
      <c r="C23" s="0" t="s">
        <v>10</v>
      </c>
      <c r="D23" s="0" t="s">
        <v>14</v>
      </c>
      <c r="E23" s="23" t="n">
        <v>26</v>
      </c>
      <c r="F23" s="24" t="n">
        <v>44225</v>
      </c>
      <c r="G23" s="30" t="n">
        <v>47360</v>
      </c>
      <c r="H23" s="0" t="s">
        <v>15</v>
      </c>
      <c r="I23" s="0" t="str">
        <f aca="false">"IND"</f>
        <v>IND</v>
      </c>
      <c r="J23" s="23" t="n">
        <f aca="false">TODAY()-staff[[#This Row],[Date Joined]]</f>
        <v>1744</v>
      </c>
      <c r="K23" s="23" t="n">
        <f aca="false">ROUNDUP(IF(staff[[#This Row],[Tenure]]&gt;2,3%,2%)*staff[[#This Row],[Salary]],0)</f>
        <v>1421</v>
      </c>
      <c r="L23" s="23" t="n">
        <f aca="false">_xlfn.xlookup(staff[[#This Row],[Rating]],Sheet2!$B$3:$B$7,Sheet2!$C$3:$C$7)</f>
        <v>3</v>
      </c>
      <c r="O23" s="0" t="s">
        <v>5</v>
      </c>
      <c r="P23" s="24" t="n">
        <v>44446</v>
      </c>
    </row>
    <row r="24" customFormat="false" ht="15" hidden="false" customHeight="false" outlineLevel="0" collapsed="false">
      <c r="B24" s="32" t="s">
        <v>132</v>
      </c>
      <c r="C24" s="32" t="s">
        <v>10</v>
      </c>
      <c r="D24" s="32" t="s">
        <v>14</v>
      </c>
      <c r="E24" s="33" t="n">
        <v>26</v>
      </c>
      <c r="F24" s="34" t="n">
        <v>44164</v>
      </c>
      <c r="G24" s="35" t="n">
        <v>47360</v>
      </c>
      <c r="H24" s="32" t="s">
        <v>15</v>
      </c>
      <c r="I24" s="32" t="s">
        <v>208</v>
      </c>
      <c r="J24" s="23" t="n">
        <f aca="false">TODAY()-staff[[#This Row],[Date Joined]]</f>
        <v>1805</v>
      </c>
      <c r="K24" s="23" t="n">
        <f aca="false">ROUNDUP(IF(staff[[#This Row],[Tenure]]&gt;2,3%,2%)*staff[[#This Row],[Salary]],0)</f>
        <v>1421</v>
      </c>
      <c r="L24" s="23" t="n">
        <f aca="false">_xlfn.xlookup(staff[[#This Row],[Rating]],Sheet2!$B$3:$B$7,Sheet2!$C$3:$C$7)</f>
        <v>3</v>
      </c>
      <c r="O24" s="0" t="s">
        <v>6</v>
      </c>
      <c r="P24" s="39" t="n">
        <v>112780</v>
      </c>
    </row>
    <row r="25" customFormat="false" ht="15" hidden="false" customHeight="false" outlineLevel="0" collapsed="false">
      <c r="B25" s="0" t="s">
        <v>71</v>
      </c>
      <c r="C25" s="0" t="s">
        <v>10</v>
      </c>
      <c r="D25" s="0" t="s">
        <v>19</v>
      </c>
      <c r="E25" s="23" t="n">
        <v>28</v>
      </c>
      <c r="F25" s="24" t="n">
        <v>44041</v>
      </c>
      <c r="G25" s="30" t="n">
        <v>48170</v>
      </c>
      <c r="H25" s="0" t="s">
        <v>12</v>
      </c>
      <c r="I25" s="0" t="str">
        <f aca="false">"IND"</f>
        <v>IND</v>
      </c>
      <c r="J25" s="23" t="n">
        <f aca="false">TODAY()-staff[[#This Row],[Date Joined]]</f>
        <v>1928</v>
      </c>
      <c r="K25" s="23" t="n">
        <f aca="false">ROUNDUP(IF(staff[[#This Row],[Tenure]]&gt;2,3%,2%)*staff[[#This Row],[Salary]],0)</f>
        <v>1446</v>
      </c>
      <c r="L25" s="23" t="n">
        <f aca="false">_xlfn.xlookup(staff[[#This Row],[Rating]],Sheet2!$B$3:$B$7,Sheet2!$C$3:$C$7)</f>
        <v>4</v>
      </c>
      <c r="O25" s="0" t="s">
        <v>7</v>
      </c>
      <c r="P25" s="0" t="str">
        <v>Above average</v>
      </c>
    </row>
    <row r="26" customFormat="false" ht="15" hidden="false" customHeight="false" outlineLevel="0" collapsed="false">
      <c r="B26" s="32" t="s">
        <v>117</v>
      </c>
      <c r="C26" s="32" t="s">
        <v>10</v>
      </c>
      <c r="D26" s="32" t="s">
        <v>19</v>
      </c>
      <c r="E26" s="33" t="n">
        <v>28</v>
      </c>
      <c r="F26" s="34" t="n">
        <v>43980</v>
      </c>
      <c r="G26" s="35" t="n">
        <v>48170</v>
      </c>
      <c r="H26" s="32" t="s">
        <v>12</v>
      </c>
      <c r="I26" s="32" t="s">
        <v>208</v>
      </c>
      <c r="J26" s="23" t="n">
        <f aca="false">TODAY()-staff[[#This Row],[Date Joined]]</f>
        <v>1989</v>
      </c>
      <c r="K26" s="23" t="n">
        <f aca="false">ROUNDUP(IF(staff[[#This Row],[Tenure]]&gt;2,3%,2%)*staff[[#This Row],[Salary]],0)</f>
        <v>1446</v>
      </c>
      <c r="L26" s="23" t="n">
        <f aca="false">_xlfn.xlookup(staff[[#This Row],[Rating]],Sheet2!$B$3:$B$7,Sheet2!$C$3:$C$7)</f>
        <v>4</v>
      </c>
      <c r="O26" s="0" t="s">
        <v>8</v>
      </c>
      <c r="P26" s="0" t="str">
        <v>IND</v>
      </c>
    </row>
    <row r="27" customFormat="false" ht="15" hidden="false" customHeight="false" outlineLevel="0" collapsed="false">
      <c r="B27" s="0" t="s">
        <v>23</v>
      </c>
      <c r="C27" s="0" t="s">
        <v>10</v>
      </c>
      <c r="D27" s="0" t="s">
        <v>14</v>
      </c>
      <c r="E27" s="23" t="n">
        <v>33</v>
      </c>
      <c r="F27" s="24" t="n">
        <v>44701</v>
      </c>
      <c r="G27" s="30" t="n">
        <v>48530</v>
      </c>
      <c r="H27" s="0" t="s">
        <v>12</v>
      </c>
      <c r="I27" s="0" t="str">
        <f aca="false">"IND"</f>
        <v>IND</v>
      </c>
      <c r="J27" s="23" t="n">
        <f aca="false">TODAY()-staff[[#This Row],[Date Joined]]</f>
        <v>1268</v>
      </c>
      <c r="K27" s="23" t="n">
        <f aca="false">ROUNDUP(IF(staff[[#This Row],[Tenure]]&gt;2,3%,2%)*staff[[#This Row],[Salary]],0)</f>
        <v>1456</v>
      </c>
      <c r="L27" s="23" t="n">
        <f aca="false">_xlfn.xlookup(staff[[#This Row],[Rating]],Sheet2!$B$3:$B$7,Sheet2!$C$3:$C$7)</f>
        <v>4</v>
      </c>
      <c r="O27" s="0" t="s">
        <v>211</v>
      </c>
      <c r="P27" s="0" t="n">
        <v>1522</v>
      </c>
    </row>
    <row r="28" customFormat="false" ht="15" hidden="false" customHeight="false" outlineLevel="0" collapsed="false">
      <c r="B28" s="32" t="s">
        <v>189</v>
      </c>
      <c r="C28" s="32" t="s">
        <v>10</v>
      </c>
      <c r="D28" s="32" t="s">
        <v>14</v>
      </c>
      <c r="E28" s="33" t="n">
        <v>33</v>
      </c>
      <c r="F28" s="34" t="n">
        <v>44640</v>
      </c>
      <c r="G28" s="35" t="n">
        <v>48530</v>
      </c>
      <c r="H28" s="32" t="s">
        <v>12</v>
      </c>
      <c r="I28" s="32" t="s">
        <v>208</v>
      </c>
      <c r="J28" s="23" t="n">
        <f aca="false">TODAY()-staff[[#This Row],[Date Joined]]</f>
        <v>1329</v>
      </c>
      <c r="K28" s="23" t="n">
        <f aca="false">ROUNDUP(IF(staff[[#This Row],[Tenure]]&gt;2,3%,2%)*staff[[#This Row],[Salary]],0)</f>
        <v>1456</v>
      </c>
      <c r="L28" s="23" t="n">
        <f aca="false">_xlfn.xlookup(staff[[#This Row],[Rating]],Sheet2!$B$3:$B$7,Sheet2!$C$3:$C$7)</f>
        <v>4</v>
      </c>
    </row>
    <row r="29" customFormat="false" ht="15" hidden="false" customHeight="false" outlineLevel="0" collapsed="false">
      <c r="B29" s="0" t="s">
        <v>59</v>
      </c>
      <c r="C29" s="0" t="s">
        <v>10</v>
      </c>
      <c r="D29" s="0" t="s">
        <v>25</v>
      </c>
      <c r="E29" s="23" t="n">
        <v>31</v>
      </c>
      <c r="F29" s="24" t="n">
        <v>44511</v>
      </c>
      <c r="G29" s="30" t="n">
        <v>48950</v>
      </c>
      <c r="H29" s="0" t="s">
        <v>15</v>
      </c>
      <c r="I29" s="0" t="str">
        <f aca="false">"IND"</f>
        <v>IND</v>
      </c>
      <c r="J29" s="23" t="n">
        <f aca="false">TODAY()-staff[[#This Row],[Date Joined]]</f>
        <v>1458</v>
      </c>
      <c r="K29" s="23" t="n">
        <f aca="false">ROUNDUP(IF(staff[[#This Row],[Tenure]]&gt;2,3%,2%)*staff[[#This Row],[Salary]],0)</f>
        <v>1469</v>
      </c>
      <c r="L29" s="23" t="n">
        <f aca="false">_xlfn.xlookup(staff[[#This Row],[Rating]],Sheet2!$B$3:$B$7,Sheet2!$C$3:$C$7)</f>
        <v>3</v>
      </c>
    </row>
    <row r="30" customFormat="false" ht="15" hidden="false" customHeight="false" outlineLevel="0" collapsed="false">
      <c r="B30" s="0" t="s">
        <v>168</v>
      </c>
      <c r="C30" s="0" t="s">
        <v>10</v>
      </c>
      <c r="D30" s="0" t="s">
        <v>25</v>
      </c>
      <c r="E30" s="23" t="n">
        <v>31</v>
      </c>
      <c r="F30" s="24" t="n">
        <v>44450</v>
      </c>
      <c r="G30" s="30" t="n">
        <v>48950</v>
      </c>
      <c r="H30" s="0" t="s">
        <v>15</v>
      </c>
      <c r="I30" s="0" t="s">
        <v>208</v>
      </c>
      <c r="J30" s="23" t="n">
        <f aca="false">TODAY()-staff[[#This Row],[Date Joined]]</f>
        <v>1519</v>
      </c>
      <c r="K30" s="23" t="n">
        <f aca="false">ROUNDUP(IF(staff[[#This Row],[Tenure]]&gt;2,3%,2%)*staff[[#This Row],[Salary]],0)</f>
        <v>1469</v>
      </c>
      <c r="L30" s="23" t="n">
        <f aca="false">_xlfn.xlookup(staff[[#This Row],[Rating]],Sheet2!$B$3:$B$7,Sheet2!$C$3:$C$7)</f>
        <v>3</v>
      </c>
    </row>
    <row r="31" customFormat="false" ht="15" hidden="false" customHeight="false" outlineLevel="0" collapsed="false">
      <c r="B31" s="0" t="s">
        <v>42</v>
      </c>
      <c r="C31" s="0" t="s">
        <v>10</v>
      </c>
      <c r="D31" s="0" t="s">
        <v>19</v>
      </c>
      <c r="E31" s="23" t="n">
        <v>27</v>
      </c>
      <c r="F31" s="24" t="n">
        <v>44567</v>
      </c>
      <c r="G31" s="30" t="n">
        <v>48980</v>
      </c>
      <c r="H31" s="0" t="s">
        <v>15</v>
      </c>
      <c r="I31" s="0" t="str">
        <f aca="false">"IND"</f>
        <v>IND</v>
      </c>
      <c r="J31" s="23" t="n">
        <f aca="false">TODAY()-staff[[#This Row],[Date Joined]]</f>
        <v>1402</v>
      </c>
      <c r="K31" s="23" t="n">
        <f aca="false">ROUNDUP(IF(staff[[#This Row],[Tenure]]&gt;2,3%,2%)*staff[[#This Row],[Salary]],0)</f>
        <v>1470</v>
      </c>
      <c r="L31" s="23" t="n">
        <f aca="false">_xlfn.xlookup(staff[[#This Row],[Rating]],Sheet2!$B$3:$B$7,Sheet2!$C$3:$C$7)</f>
        <v>3</v>
      </c>
    </row>
    <row r="32" customFormat="false" ht="15" hidden="false" customHeight="false" outlineLevel="0" collapsed="false">
      <c r="B32" s="0" t="s">
        <v>171</v>
      </c>
      <c r="C32" s="0" t="s">
        <v>10</v>
      </c>
      <c r="D32" s="0" t="s">
        <v>19</v>
      </c>
      <c r="E32" s="23" t="n">
        <v>27</v>
      </c>
      <c r="F32" s="24" t="n">
        <v>44506</v>
      </c>
      <c r="G32" s="30" t="n">
        <v>48980</v>
      </c>
      <c r="H32" s="0" t="s">
        <v>15</v>
      </c>
      <c r="I32" s="0" t="s">
        <v>208</v>
      </c>
      <c r="J32" s="23" t="n">
        <f aca="false">TODAY()-staff[[#This Row],[Date Joined]]</f>
        <v>1463</v>
      </c>
      <c r="K32" s="23" t="n">
        <f aca="false">ROUNDUP(IF(staff[[#This Row],[Tenure]]&gt;2,3%,2%)*staff[[#This Row],[Salary]],0)</f>
        <v>1470</v>
      </c>
      <c r="L32" s="23" t="n">
        <f aca="false">_xlfn.xlookup(staff[[#This Row],[Rating]],Sheet2!$B$3:$B$7,Sheet2!$C$3:$C$7)</f>
        <v>3</v>
      </c>
    </row>
    <row r="33" customFormat="false" ht="15" hidden="false" customHeight="false" outlineLevel="0" collapsed="false">
      <c r="B33" s="0" t="s">
        <v>55</v>
      </c>
      <c r="C33" s="0" t="s">
        <v>17</v>
      </c>
      <c r="D33" s="0" t="s">
        <v>11</v>
      </c>
      <c r="E33" s="23" t="n">
        <v>34</v>
      </c>
      <c r="F33" s="24" t="n">
        <v>44721</v>
      </c>
      <c r="G33" s="30" t="n">
        <v>49630</v>
      </c>
      <c r="H33" s="0" t="s">
        <v>20</v>
      </c>
      <c r="I33" s="0" t="str">
        <f aca="false">"IND"</f>
        <v>IND</v>
      </c>
      <c r="J33" s="23" t="n">
        <f aca="false">TODAY()-staff[[#This Row],[Date Joined]]</f>
        <v>1248</v>
      </c>
      <c r="K33" s="23" t="n">
        <f aca="false">ROUNDUP(IF(staff[[#This Row],[Tenure]]&gt;2,3%,2%)*staff[[#This Row],[Salary]],0)</f>
        <v>1489</v>
      </c>
      <c r="L33" s="23" t="n">
        <f aca="false">_xlfn.xlookup(staff[[#This Row],[Rating]],Sheet2!$B$3:$B$7,Sheet2!$C$3:$C$7)</f>
        <v>2</v>
      </c>
    </row>
    <row r="34" customFormat="false" ht="15" hidden="false" customHeight="false" outlineLevel="0" collapsed="false">
      <c r="B34" s="0" t="s">
        <v>191</v>
      </c>
      <c r="C34" s="0" t="s">
        <v>17</v>
      </c>
      <c r="D34" s="0" t="s">
        <v>11</v>
      </c>
      <c r="E34" s="23" t="n">
        <v>34</v>
      </c>
      <c r="F34" s="24" t="n">
        <v>44660</v>
      </c>
      <c r="G34" s="30" t="n">
        <v>49630</v>
      </c>
      <c r="H34" s="0" t="s">
        <v>20</v>
      </c>
      <c r="I34" s="0" t="s">
        <v>208</v>
      </c>
      <c r="J34" s="23" t="n">
        <f aca="false">TODAY()-staff[[#This Row],[Date Joined]]</f>
        <v>1309</v>
      </c>
      <c r="K34" s="23" t="n">
        <f aca="false">ROUNDUP(IF(staff[[#This Row],[Tenure]]&gt;2,3%,2%)*staff[[#This Row],[Salary]],0)</f>
        <v>1489</v>
      </c>
      <c r="L34" s="23" t="n">
        <f aca="false">_xlfn.xlookup(staff[[#This Row],[Rating]],Sheet2!$B$3:$B$7,Sheet2!$C$3:$C$7)</f>
        <v>2</v>
      </c>
    </row>
    <row r="35" customFormat="false" ht="15" hidden="false" customHeight="false" outlineLevel="0" collapsed="false">
      <c r="B35" s="0" t="s">
        <v>60</v>
      </c>
      <c r="C35" s="0" t="s">
        <v>10</v>
      </c>
      <c r="D35" s="0" t="s">
        <v>19</v>
      </c>
      <c r="E35" s="23" t="n">
        <v>24</v>
      </c>
      <c r="F35" s="24" t="n">
        <v>44436</v>
      </c>
      <c r="G35" s="30" t="n">
        <v>52610</v>
      </c>
      <c r="H35" s="0" t="s">
        <v>20</v>
      </c>
      <c r="I35" s="0" t="str">
        <f aca="false">"IND"</f>
        <v>IND</v>
      </c>
      <c r="J35" s="23" t="n">
        <f aca="false">TODAY()-staff[[#This Row],[Date Joined]]</f>
        <v>1533</v>
      </c>
      <c r="K35" s="23" t="n">
        <f aca="false">ROUNDUP(IF(staff[[#This Row],[Tenure]]&gt;2,3%,2%)*staff[[#This Row],[Salary]],0)</f>
        <v>1579</v>
      </c>
      <c r="L35" s="23" t="n">
        <f aca="false">_xlfn.xlookup(staff[[#This Row],[Rating]],Sheet2!$B$3:$B$7,Sheet2!$C$3:$C$7)</f>
        <v>2</v>
      </c>
    </row>
    <row r="36" customFormat="false" ht="15" hidden="false" customHeight="false" outlineLevel="0" collapsed="false">
      <c r="B36" s="32" t="s">
        <v>156</v>
      </c>
      <c r="C36" s="32" t="s">
        <v>10</v>
      </c>
      <c r="D36" s="32" t="s">
        <v>19</v>
      </c>
      <c r="E36" s="33" t="n">
        <v>24</v>
      </c>
      <c r="F36" s="34" t="n">
        <v>44375</v>
      </c>
      <c r="G36" s="35" t="n">
        <v>52610</v>
      </c>
      <c r="H36" s="32" t="s">
        <v>20</v>
      </c>
      <c r="I36" s="32" t="s">
        <v>208</v>
      </c>
      <c r="J36" s="23" t="n">
        <f aca="false">TODAY()-staff[[#This Row],[Date Joined]]</f>
        <v>1594</v>
      </c>
      <c r="K36" s="23" t="n">
        <f aca="false">ROUNDUP(IF(staff[[#This Row],[Tenure]]&gt;2,3%,2%)*staff[[#This Row],[Salary]],0)</f>
        <v>1579</v>
      </c>
      <c r="L36" s="23" t="n">
        <f aca="false">_xlfn.xlookup(staff[[#This Row],[Rating]],Sheet2!$B$3:$B$7,Sheet2!$C$3:$C$7)</f>
        <v>2</v>
      </c>
    </row>
    <row r="37" customFormat="false" ht="15" hidden="false" customHeight="false" outlineLevel="0" collapsed="false">
      <c r="B37" s="0" t="s">
        <v>16</v>
      </c>
      <c r="C37" s="0" t="s">
        <v>17</v>
      </c>
      <c r="D37" s="0" t="s">
        <v>11</v>
      </c>
      <c r="E37" s="23" t="n">
        <v>28</v>
      </c>
      <c r="F37" s="24" t="n">
        <v>44357</v>
      </c>
      <c r="G37" s="30" t="n">
        <v>53240</v>
      </c>
      <c r="H37" s="0" t="s">
        <v>15</v>
      </c>
      <c r="I37" s="0" t="str">
        <f aca="false">"IND"</f>
        <v>IND</v>
      </c>
      <c r="J37" s="23" t="n">
        <f aca="false">TODAY()-staff[[#This Row],[Date Joined]]</f>
        <v>1612</v>
      </c>
      <c r="K37" s="23" t="n">
        <f aca="false">ROUNDUP(IF(staff[[#This Row],[Tenure]]&gt;2,3%,2%)*staff[[#This Row],[Salary]],0)</f>
        <v>1598</v>
      </c>
      <c r="L37" s="23" t="n">
        <f aca="false">_xlfn.xlookup(staff[[#This Row],[Rating]],Sheet2!$B$3:$B$7,Sheet2!$C$3:$C$7)</f>
        <v>3</v>
      </c>
    </row>
    <row r="38" customFormat="false" ht="15" hidden="false" customHeight="false" outlineLevel="0" collapsed="false">
      <c r="B38" s="0" t="s">
        <v>147</v>
      </c>
      <c r="C38" s="0" t="s">
        <v>17</v>
      </c>
      <c r="D38" s="0" t="s">
        <v>11</v>
      </c>
      <c r="E38" s="23" t="n">
        <v>28</v>
      </c>
      <c r="F38" s="24" t="n">
        <v>44296</v>
      </c>
      <c r="G38" s="30" t="n">
        <v>53240</v>
      </c>
      <c r="H38" s="0" t="s">
        <v>15</v>
      </c>
      <c r="I38" s="0" t="s">
        <v>208</v>
      </c>
      <c r="J38" s="23" t="n">
        <f aca="false">TODAY()-staff[[#This Row],[Date Joined]]</f>
        <v>1673</v>
      </c>
      <c r="K38" s="23" t="n">
        <f aca="false">ROUNDUP(IF(staff[[#This Row],[Tenure]]&gt;2,3%,2%)*staff[[#This Row],[Salary]],0)</f>
        <v>1598</v>
      </c>
      <c r="L38" s="23" t="n">
        <f aca="false">_xlfn.xlookup(staff[[#This Row],[Rating]],Sheet2!$B$3:$B$7,Sheet2!$C$3:$C$7)</f>
        <v>3</v>
      </c>
    </row>
    <row r="39" customFormat="false" ht="15" hidden="false" customHeight="false" outlineLevel="0" collapsed="false">
      <c r="B39" s="0" t="s">
        <v>21</v>
      </c>
      <c r="C39" s="0" t="s">
        <v>10</v>
      </c>
      <c r="D39" s="0" t="s">
        <v>11</v>
      </c>
      <c r="E39" s="23" t="n">
        <v>32</v>
      </c>
      <c r="F39" s="24" t="n">
        <v>44465</v>
      </c>
      <c r="G39" s="30" t="n">
        <v>53540</v>
      </c>
      <c r="H39" s="0" t="s">
        <v>15</v>
      </c>
      <c r="I39" s="0" t="str">
        <f aca="false">"IND"</f>
        <v>IND</v>
      </c>
      <c r="J39" s="23" t="n">
        <f aca="false">TODAY()-staff[[#This Row],[Date Joined]]</f>
        <v>1504</v>
      </c>
      <c r="K39" s="23" t="n">
        <f aca="false">ROUNDUP(IF(staff[[#This Row],[Tenure]]&gt;2,3%,2%)*staff[[#This Row],[Salary]],0)</f>
        <v>1607</v>
      </c>
      <c r="L39" s="23" t="n">
        <f aca="false">_xlfn.xlookup(staff[[#This Row],[Rating]],Sheet2!$B$3:$B$7,Sheet2!$C$3:$C$7)</f>
        <v>3</v>
      </c>
    </row>
    <row r="40" customFormat="false" ht="15" hidden="false" customHeight="false" outlineLevel="0" collapsed="false">
      <c r="B40" s="0" t="s">
        <v>111</v>
      </c>
      <c r="C40" s="0" t="s">
        <v>10</v>
      </c>
      <c r="D40" s="0" t="s">
        <v>14</v>
      </c>
      <c r="E40" s="23" t="n">
        <v>26</v>
      </c>
      <c r="F40" s="24" t="n">
        <v>44411</v>
      </c>
      <c r="G40" s="30" t="n">
        <v>53540</v>
      </c>
      <c r="H40" s="0" t="s">
        <v>15</v>
      </c>
      <c r="I40" s="0" t="s">
        <v>208</v>
      </c>
      <c r="J40" s="23" t="n">
        <f aca="false">TODAY()-staff[[#This Row],[Date Joined]]</f>
        <v>1558</v>
      </c>
      <c r="K40" s="23" t="n">
        <f aca="false">ROUNDUP(IF(staff[[#This Row],[Tenure]]&gt;2,3%,2%)*staff[[#This Row],[Salary]],0)</f>
        <v>1607</v>
      </c>
      <c r="L40" s="23" t="n">
        <f aca="false">_xlfn.xlookup(staff[[#This Row],[Rating]],Sheet2!$B$3:$B$7,Sheet2!$C$3:$C$7)</f>
        <v>3</v>
      </c>
    </row>
    <row r="41" customFormat="false" ht="15" hidden="false" customHeight="false" outlineLevel="0" collapsed="false">
      <c r="B41" s="0" t="s">
        <v>164</v>
      </c>
      <c r="C41" s="0" t="s">
        <v>10</v>
      </c>
      <c r="D41" s="0" t="s">
        <v>11</v>
      </c>
      <c r="E41" s="23" t="n">
        <v>32</v>
      </c>
      <c r="F41" s="24" t="n">
        <v>44403</v>
      </c>
      <c r="G41" s="30" t="n">
        <v>53540</v>
      </c>
      <c r="H41" s="0" t="s">
        <v>15</v>
      </c>
      <c r="I41" s="0" t="s">
        <v>208</v>
      </c>
      <c r="J41" s="23" t="n">
        <f aca="false">TODAY()-staff[[#This Row],[Date Joined]]</f>
        <v>1566</v>
      </c>
      <c r="K41" s="23" t="n">
        <f aca="false">ROUNDUP(IF(staff[[#This Row],[Tenure]]&gt;2,3%,2%)*staff[[#This Row],[Salary]],0)</f>
        <v>1607</v>
      </c>
      <c r="L41" s="23" t="n">
        <f aca="false">_xlfn.xlookup(staff[[#This Row],[Rating]],Sheet2!$B$3:$B$7,Sheet2!$C$3:$C$7)</f>
        <v>3</v>
      </c>
    </row>
    <row r="42" customFormat="false" ht="15" hidden="false" customHeight="false" outlineLevel="0" collapsed="false">
      <c r="B42" s="0" t="s">
        <v>155</v>
      </c>
      <c r="C42" s="0" t="s">
        <v>10</v>
      </c>
      <c r="D42" s="0" t="s">
        <v>14</v>
      </c>
      <c r="E42" s="23" t="n">
        <v>26</v>
      </c>
      <c r="F42" s="24" t="n">
        <v>44350</v>
      </c>
      <c r="G42" s="30" t="n">
        <v>53540</v>
      </c>
      <c r="H42" s="0" t="s">
        <v>15</v>
      </c>
      <c r="I42" s="0" t="s">
        <v>208</v>
      </c>
      <c r="J42" s="23" t="n">
        <f aca="false">TODAY()-staff[[#This Row],[Date Joined]]</f>
        <v>1619</v>
      </c>
      <c r="K42" s="23" t="n">
        <f aca="false">ROUNDUP(IF(staff[[#This Row],[Tenure]]&gt;2,3%,2%)*staff[[#This Row],[Salary]],0)</f>
        <v>1607</v>
      </c>
      <c r="L42" s="23" t="n">
        <f aca="false">_xlfn.xlookup(staff[[#This Row],[Rating]],Sheet2!$B$3:$B$7,Sheet2!$C$3:$C$7)</f>
        <v>3</v>
      </c>
    </row>
    <row r="43" customFormat="false" ht="15" hidden="false" customHeight="false" outlineLevel="0" collapsed="false">
      <c r="B43" s="0" t="s">
        <v>26</v>
      </c>
      <c r="C43" s="0" t="s">
        <v>10</v>
      </c>
      <c r="D43" s="0" t="s">
        <v>25</v>
      </c>
      <c r="E43" s="23" t="n">
        <v>33</v>
      </c>
      <c r="F43" s="24" t="n">
        <v>44509</v>
      </c>
      <c r="G43" s="30" t="n">
        <v>53870</v>
      </c>
      <c r="H43" s="0" t="s">
        <v>15</v>
      </c>
      <c r="I43" s="0" t="str">
        <f aca="false">"IND"</f>
        <v>IND</v>
      </c>
      <c r="J43" s="23" t="n">
        <f aca="false">TODAY()-staff[[#This Row],[Date Joined]]</f>
        <v>1460</v>
      </c>
      <c r="K43" s="23" t="n">
        <f aca="false">ROUNDUP(IF(staff[[#This Row],[Tenure]]&gt;2,3%,2%)*staff[[#This Row],[Salary]],0)</f>
        <v>1617</v>
      </c>
      <c r="L43" s="23" t="n">
        <f aca="false">_xlfn.xlookup(staff[[#This Row],[Rating]],Sheet2!$B$3:$B$7,Sheet2!$C$3:$C$7)</f>
        <v>3</v>
      </c>
    </row>
    <row r="44" customFormat="false" ht="15" hidden="false" customHeight="false" outlineLevel="0" collapsed="false">
      <c r="B44" s="0" t="s">
        <v>167</v>
      </c>
      <c r="C44" s="0" t="s">
        <v>10</v>
      </c>
      <c r="D44" s="0" t="s">
        <v>25</v>
      </c>
      <c r="E44" s="23" t="n">
        <v>33</v>
      </c>
      <c r="F44" s="24" t="n">
        <v>44448</v>
      </c>
      <c r="G44" s="30" t="n">
        <v>53870</v>
      </c>
      <c r="H44" s="0" t="s">
        <v>15</v>
      </c>
      <c r="I44" s="0" t="s">
        <v>208</v>
      </c>
      <c r="J44" s="23" t="n">
        <f aca="false">TODAY()-staff[[#This Row],[Date Joined]]</f>
        <v>1521</v>
      </c>
      <c r="K44" s="23" t="n">
        <f aca="false">ROUNDUP(IF(staff[[#This Row],[Tenure]]&gt;2,3%,2%)*staff[[#This Row],[Salary]],0)</f>
        <v>1617</v>
      </c>
      <c r="L44" s="23" t="n">
        <f aca="false">_xlfn.xlookup(staff[[#This Row],[Rating]],Sheet2!$B$3:$B$7,Sheet2!$C$3:$C$7)</f>
        <v>3</v>
      </c>
    </row>
    <row r="45" customFormat="false" ht="15" hidden="false" customHeight="false" outlineLevel="0" collapsed="false">
      <c r="B45" s="0" t="s">
        <v>84</v>
      </c>
      <c r="C45" s="0" t="s">
        <v>10</v>
      </c>
      <c r="D45" s="0" t="s">
        <v>11</v>
      </c>
      <c r="E45" s="23" t="n">
        <v>27</v>
      </c>
      <c r="F45" s="24" t="n">
        <v>44134</v>
      </c>
      <c r="G45" s="30" t="n">
        <v>54970</v>
      </c>
      <c r="H45" s="0" t="s">
        <v>15</v>
      </c>
      <c r="I45" s="0" t="str">
        <f aca="false">"IND"</f>
        <v>IND</v>
      </c>
      <c r="J45" s="23" t="n">
        <f aca="false">TODAY()-staff[[#This Row],[Date Joined]]</f>
        <v>1835</v>
      </c>
      <c r="K45" s="23" t="n">
        <f aca="false">ROUNDUP(IF(staff[[#This Row],[Tenure]]&gt;2,3%,2%)*staff[[#This Row],[Salary]],0)</f>
        <v>1650</v>
      </c>
      <c r="L45" s="23" t="n">
        <f aca="false">_xlfn.xlookup(staff[[#This Row],[Rating]],Sheet2!$B$3:$B$7,Sheet2!$C$3:$C$7)</f>
        <v>3</v>
      </c>
    </row>
    <row r="46" customFormat="false" ht="15" hidden="false" customHeight="false" outlineLevel="0" collapsed="false">
      <c r="B46" s="32" t="s">
        <v>122</v>
      </c>
      <c r="C46" s="32" t="s">
        <v>10</v>
      </c>
      <c r="D46" s="32" t="s">
        <v>11</v>
      </c>
      <c r="E46" s="33" t="n">
        <v>27</v>
      </c>
      <c r="F46" s="34" t="n">
        <v>44073</v>
      </c>
      <c r="G46" s="35" t="n">
        <v>54970</v>
      </c>
      <c r="H46" s="32" t="s">
        <v>15</v>
      </c>
      <c r="I46" s="32" t="s">
        <v>208</v>
      </c>
      <c r="J46" s="23" t="n">
        <f aca="false">TODAY()-staff[[#This Row],[Date Joined]]</f>
        <v>1896</v>
      </c>
      <c r="K46" s="23" t="n">
        <f aca="false">ROUNDUP(IF(staff[[#This Row],[Tenure]]&gt;2,3%,2%)*staff[[#This Row],[Salary]],0)</f>
        <v>1650</v>
      </c>
      <c r="L46" s="23" t="n">
        <f aca="false">_xlfn.xlookup(staff[[#This Row],[Rating]],Sheet2!$B$3:$B$7,Sheet2!$C$3:$C$7)</f>
        <v>3</v>
      </c>
    </row>
    <row r="47" customFormat="false" ht="15" hidden="false" customHeight="false" outlineLevel="0" collapsed="false">
      <c r="B47" s="0" t="s">
        <v>86</v>
      </c>
      <c r="C47" s="0" t="s">
        <v>17</v>
      </c>
      <c r="D47" s="0" t="s">
        <v>11</v>
      </c>
      <c r="E47" s="23" t="n">
        <v>38</v>
      </c>
      <c r="F47" s="24" t="n">
        <v>44329</v>
      </c>
      <c r="G47" s="30" t="n">
        <v>56870</v>
      </c>
      <c r="H47" s="0" t="s">
        <v>12</v>
      </c>
      <c r="I47" s="0" t="str">
        <f aca="false">"IND"</f>
        <v>IND</v>
      </c>
      <c r="J47" s="23" t="n">
        <f aca="false">TODAY()-staff[[#This Row],[Date Joined]]</f>
        <v>1640</v>
      </c>
      <c r="K47" s="23" t="n">
        <f aca="false">ROUNDUP(IF(staff[[#This Row],[Tenure]]&gt;2,3%,2%)*staff[[#This Row],[Salary]],0)</f>
        <v>1707</v>
      </c>
      <c r="L47" s="23" t="n">
        <f aca="false">_xlfn.xlookup(staff[[#This Row],[Rating]],Sheet2!$B$3:$B$7,Sheet2!$C$3:$C$7)</f>
        <v>4</v>
      </c>
    </row>
    <row r="48" customFormat="false" ht="15" hidden="false" customHeight="false" outlineLevel="0" collapsed="false">
      <c r="B48" s="0" t="s">
        <v>142</v>
      </c>
      <c r="C48" s="0" t="s">
        <v>17</v>
      </c>
      <c r="D48" s="0" t="s">
        <v>11</v>
      </c>
      <c r="E48" s="23" t="n">
        <v>38</v>
      </c>
      <c r="F48" s="24" t="n">
        <v>44268</v>
      </c>
      <c r="G48" s="30" t="n">
        <v>56870</v>
      </c>
      <c r="H48" s="0" t="s">
        <v>12</v>
      </c>
      <c r="I48" s="0" t="s">
        <v>208</v>
      </c>
      <c r="J48" s="23" t="n">
        <f aca="false">TODAY()-staff[[#This Row],[Date Joined]]</f>
        <v>1701</v>
      </c>
      <c r="K48" s="23" t="n">
        <f aca="false">ROUNDUP(IF(staff[[#This Row],[Tenure]]&gt;2,3%,2%)*staff[[#This Row],[Salary]],0)</f>
        <v>1707</v>
      </c>
      <c r="L48" s="23" t="n">
        <f aca="false">_xlfn.xlookup(staff[[#This Row],[Rating]],Sheet2!$B$3:$B$7,Sheet2!$C$3:$C$7)</f>
        <v>4</v>
      </c>
    </row>
    <row r="49" customFormat="false" ht="15" hidden="false" customHeight="false" outlineLevel="0" collapsed="false">
      <c r="B49" s="0" t="s">
        <v>36</v>
      </c>
      <c r="C49" s="0" t="s">
        <v>10</v>
      </c>
      <c r="D49" s="0" t="s">
        <v>14</v>
      </c>
      <c r="E49" s="23" t="n">
        <v>21</v>
      </c>
      <c r="F49" s="24" t="n">
        <v>44762</v>
      </c>
      <c r="G49" s="30" t="n">
        <v>57090</v>
      </c>
      <c r="H49" s="0" t="s">
        <v>15</v>
      </c>
      <c r="I49" s="0" t="str">
        <f aca="false">"IND"</f>
        <v>IND</v>
      </c>
      <c r="J49" s="23" t="n">
        <f aca="false">TODAY()-staff[[#This Row],[Date Joined]]</f>
        <v>1207</v>
      </c>
      <c r="K49" s="23" t="n">
        <f aca="false">ROUNDUP(IF(staff[[#This Row],[Tenure]]&gt;2,3%,2%)*staff[[#This Row],[Salary]],0)</f>
        <v>1713</v>
      </c>
      <c r="L49" s="23" t="n">
        <f aca="false">_xlfn.xlookup(staff[[#This Row],[Rating]],Sheet2!$B$3:$B$7,Sheet2!$C$3:$C$7)</f>
        <v>3</v>
      </c>
    </row>
    <row r="50" customFormat="false" ht="15" hidden="false" customHeight="false" outlineLevel="0" collapsed="false">
      <c r="B50" s="0" t="s">
        <v>198</v>
      </c>
      <c r="C50" s="0" t="s">
        <v>10</v>
      </c>
      <c r="D50" s="0" t="s">
        <v>14</v>
      </c>
      <c r="E50" s="23" t="n">
        <v>21</v>
      </c>
      <c r="F50" s="24" t="n">
        <v>44701</v>
      </c>
      <c r="G50" s="30" t="n">
        <v>57090</v>
      </c>
      <c r="H50" s="0" t="s">
        <v>15</v>
      </c>
      <c r="I50" s="0" t="s">
        <v>208</v>
      </c>
      <c r="J50" s="23" t="n">
        <f aca="false">TODAY()-staff[[#This Row],[Date Joined]]</f>
        <v>1268</v>
      </c>
      <c r="K50" s="23" t="n">
        <f aca="false">ROUNDUP(IF(staff[[#This Row],[Tenure]]&gt;2,3%,2%)*staff[[#This Row],[Salary]],0)</f>
        <v>1713</v>
      </c>
      <c r="L50" s="23" t="n">
        <f aca="false">_xlfn.xlookup(staff[[#This Row],[Rating]],Sheet2!$B$3:$B$7,Sheet2!$C$3:$C$7)</f>
        <v>3</v>
      </c>
    </row>
    <row r="51" customFormat="false" ht="15" hidden="false" customHeight="false" outlineLevel="0" collapsed="false">
      <c r="B51" s="0" t="s">
        <v>41</v>
      </c>
      <c r="C51" s="0" t="s">
        <v>17</v>
      </c>
      <c r="D51" s="0" t="s">
        <v>25</v>
      </c>
      <c r="E51" s="23" t="n">
        <v>31</v>
      </c>
      <c r="F51" s="24" t="n">
        <v>44663</v>
      </c>
      <c r="G51" s="30" t="n">
        <v>58100</v>
      </c>
      <c r="H51" s="0" t="s">
        <v>15</v>
      </c>
      <c r="I51" s="0" t="str">
        <f aca="false">"IND"</f>
        <v>IND</v>
      </c>
      <c r="J51" s="23" t="n">
        <f aca="false">TODAY()-staff[[#This Row],[Date Joined]]</f>
        <v>1306</v>
      </c>
      <c r="K51" s="23" t="n">
        <f aca="false">ROUNDUP(IF(staff[[#This Row],[Tenure]]&gt;2,3%,2%)*staff[[#This Row],[Salary]],0)</f>
        <v>1743</v>
      </c>
      <c r="L51" s="23" t="n">
        <f aca="false">_xlfn.xlookup(staff[[#This Row],[Rating]],Sheet2!$B$3:$B$7,Sheet2!$C$3:$C$7)</f>
        <v>3</v>
      </c>
    </row>
    <row r="52" customFormat="false" ht="15" hidden="false" customHeight="false" outlineLevel="0" collapsed="false">
      <c r="B52" s="32" t="s">
        <v>181</v>
      </c>
      <c r="C52" s="32" t="s">
        <v>17</v>
      </c>
      <c r="D52" s="32" t="s">
        <v>25</v>
      </c>
      <c r="E52" s="33" t="n">
        <v>31</v>
      </c>
      <c r="F52" s="34" t="n">
        <v>44604</v>
      </c>
      <c r="G52" s="35" t="n">
        <v>58100</v>
      </c>
      <c r="H52" s="32" t="s">
        <v>15</v>
      </c>
      <c r="I52" s="32" t="s">
        <v>208</v>
      </c>
      <c r="J52" s="23" t="n">
        <f aca="false">TODAY()-staff[[#This Row],[Date Joined]]</f>
        <v>1365</v>
      </c>
      <c r="K52" s="23" t="n">
        <f aca="false">ROUNDUP(IF(staff[[#This Row],[Tenure]]&gt;2,3%,2%)*staff[[#This Row],[Salary]],0)</f>
        <v>1743</v>
      </c>
      <c r="L52" s="23" t="n">
        <f aca="false">_xlfn.xlookup(staff[[#This Row],[Rating]],Sheet2!$B$3:$B$7,Sheet2!$C$3:$C$7)</f>
        <v>3</v>
      </c>
    </row>
    <row r="53" customFormat="false" ht="15" hidden="false" customHeight="false" outlineLevel="0" collapsed="false">
      <c r="B53" s="0" t="s">
        <v>39</v>
      </c>
      <c r="C53" s="0" t="s">
        <v>17</v>
      </c>
      <c r="D53" s="0" t="s">
        <v>19</v>
      </c>
      <c r="E53" s="23" t="n">
        <v>34</v>
      </c>
      <c r="F53" s="24" t="n">
        <v>44653</v>
      </c>
      <c r="G53" s="30" t="n">
        <v>58940</v>
      </c>
      <c r="H53" s="0" t="s">
        <v>15</v>
      </c>
      <c r="I53" s="0" t="str">
        <f aca="false">"IND"</f>
        <v>IND</v>
      </c>
      <c r="J53" s="23" t="n">
        <f aca="false">TODAY()-staff[[#This Row],[Date Joined]]</f>
        <v>1316</v>
      </c>
      <c r="K53" s="23" t="n">
        <f aca="false">ROUNDUP(IF(staff[[#This Row],[Tenure]]&gt;2,3%,2%)*staff[[#This Row],[Salary]],0)</f>
        <v>1769</v>
      </c>
      <c r="L53" s="23" t="n">
        <f aca="false">_xlfn.xlookup(staff[[#This Row],[Rating]],Sheet2!$B$3:$B$7,Sheet2!$C$3:$C$7)</f>
        <v>3</v>
      </c>
    </row>
    <row r="54" customFormat="false" ht="15" hidden="false" customHeight="false" outlineLevel="0" collapsed="false">
      <c r="B54" s="0" t="s">
        <v>180</v>
      </c>
      <c r="C54" s="0" t="s">
        <v>17</v>
      </c>
      <c r="D54" s="0" t="s">
        <v>19</v>
      </c>
      <c r="E54" s="23" t="n">
        <v>34</v>
      </c>
      <c r="F54" s="24" t="n">
        <v>44594</v>
      </c>
      <c r="G54" s="30" t="n">
        <v>58940</v>
      </c>
      <c r="H54" s="0" t="s">
        <v>15</v>
      </c>
      <c r="I54" s="0" t="s">
        <v>208</v>
      </c>
      <c r="J54" s="23" t="n">
        <f aca="false">TODAY()-staff[[#This Row],[Date Joined]]</f>
        <v>1375</v>
      </c>
      <c r="K54" s="23" t="n">
        <f aca="false">ROUNDUP(IF(staff[[#This Row],[Tenure]]&gt;2,3%,2%)*staff[[#This Row],[Salary]],0)</f>
        <v>1769</v>
      </c>
      <c r="L54" s="23" t="n">
        <f aca="false">_xlfn.xlookup(staff[[#This Row],[Rating]],Sheet2!$B$3:$B$7,Sheet2!$C$3:$C$7)</f>
        <v>3</v>
      </c>
    </row>
    <row r="55" customFormat="false" ht="15" hidden="false" customHeight="false" outlineLevel="0" collapsed="false">
      <c r="B55" s="0" t="s">
        <v>69</v>
      </c>
      <c r="C55" s="0" t="s">
        <v>10</v>
      </c>
      <c r="D55" s="0" t="s">
        <v>14</v>
      </c>
      <c r="E55" s="23" t="n">
        <v>19</v>
      </c>
      <c r="F55" s="24" t="n">
        <v>44277</v>
      </c>
      <c r="G55" s="30" t="n">
        <v>58960</v>
      </c>
      <c r="H55" s="0" t="s">
        <v>15</v>
      </c>
      <c r="I55" s="0" t="str">
        <f aca="false">"IND"</f>
        <v>IND</v>
      </c>
      <c r="J55" s="23" t="n">
        <f aca="false">TODAY()-staff[[#This Row],[Date Joined]]</f>
        <v>1692</v>
      </c>
      <c r="K55" s="23" t="n">
        <f aca="false">ROUNDUP(IF(staff[[#This Row],[Tenure]]&gt;2,3%,2%)*staff[[#This Row],[Salary]],0)</f>
        <v>1769</v>
      </c>
      <c r="L55" s="23" t="n">
        <f aca="false">_xlfn.xlookup(staff[[#This Row],[Rating]],Sheet2!$B$3:$B$7,Sheet2!$C$3:$C$7)</f>
        <v>3</v>
      </c>
    </row>
    <row r="56" customFormat="false" ht="15" hidden="false" customHeight="false" outlineLevel="0" collapsed="false">
      <c r="B56" s="0" t="s">
        <v>139</v>
      </c>
      <c r="C56" s="0" t="s">
        <v>10</v>
      </c>
      <c r="D56" s="0" t="s">
        <v>14</v>
      </c>
      <c r="E56" s="23" t="n">
        <v>19</v>
      </c>
      <c r="F56" s="24" t="n">
        <v>44218</v>
      </c>
      <c r="G56" s="30" t="n">
        <v>58960</v>
      </c>
      <c r="H56" s="0" t="s">
        <v>15</v>
      </c>
      <c r="I56" s="0" t="s">
        <v>208</v>
      </c>
      <c r="J56" s="23" t="n">
        <f aca="false">TODAY()-staff[[#This Row],[Date Joined]]</f>
        <v>1751</v>
      </c>
      <c r="K56" s="23" t="n">
        <f aca="false">ROUNDUP(IF(staff[[#This Row],[Tenure]]&gt;2,3%,2%)*staff[[#This Row],[Salary]],0)</f>
        <v>1769</v>
      </c>
      <c r="L56" s="23" t="n">
        <f aca="false">_xlfn.xlookup(staff[[#This Row],[Rating]],Sheet2!$B$3:$B$7,Sheet2!$C$3:$C$7)</f>
        <v>3</v>
      </c>
    </row>
    <row r="57" customFormat="false" ht="15" hidden="false" customHeight="false" outlineLevel="0" collapsed="false">
      <c r="B57" s="0" t="s">
        <v>104</v>
      </c>
      <c r="C57" s="0" t="s">
        <v>10</v>
      </c>
      <c r="D57" s="0" t="s">
        <v>19</v>
      </c>
      <c r="E57" s="23" t="n">
        <v>33</v>
      </c>
      <c r="F57" s="24" t="n">
        <v>44243</v>
      </c>
      <c r="G57" s="30" t="n">
        <v>59430</v>
      </c>
      <c r="H57" s="0" t="s">
        <v>15</v>
      </c>
      <c r="I57" s="0" t="str">
        <f aca="false">"IND"</f>
        <v>IND</v>
      </c>
      <c r="J57" s="23" t="n">
        <f aca="false">TODAY()-staff[[#This Row],[Date Joined]]</f>
        <v>1726</v>
      </c>
      <c r="K57" s="23" t="n">
        <f aca="false">ROUNDUP(IF(staff[[#This Row],[Tenure]]&gt;2,3%,2%)*staff[[#This Row],[Salary]],0)</f>
        <v>1783</v>
      </c>
      <c r="L57" s="23" t="n">
        <f aca="false">_xlfn.xlookup(staff[[#This Row],[Rating]],Sheet2!$B$3:$B$7,Sheet2!$C$3:$C$7)</f>
        <v>3</v>
      </c>
    </row>
    <row r="58" customFormat="false" ht="15" hidden="false" customHeight="false" outlineLevel="0" collapsed="false">
      <c r="B58" s="0" t="s">
        <v>135</v>
      </c>
      <c r="C58" s="0" t="s">
        <v>10</v>
      </c>
      <c r="D58" s="0" t="s">
        <v>19</v>
      </c>
      <c r="E58" s="23" t="n">
        <v>33</v>
      </c>
      <c r="F58" s="24" t="n">
        <v>44181</v>
      </c>
      <c r="G58" s="30" t="n">
        <v>59430</v>
      </c>
      <c r="H58" s="0" t="s">
        <v>15</v>
      </c>
      <c r="I58" s="0" t="s">
        <v>208</v>
      </c>
      <c r="J58" s="23" t="n">
        <f aca="false">TODAY()-staff[[#This Row],[Date Joined]]</f>
        <v>1788</v>
      </c>
      <c r="K58" s="23" t="n">
        <f aca="false">ROUNDUP(IF(staff[[#This Row],[Tenure]]&gt;2,3%,2%)*staff[[#This Row],[Salary]],0)</f>
        <v>1783</v>
      </c>
      <c r="L58" s="23" t="n">
        <f aca="false">_xlfn.xlookup(staff[[#This Row],[Rating]],Sheet2!$B$3:$B$7,Sheet2!$C$3:$C$7)</f>
        <v>3</v>
      </c>
    </row>
    <row r="59" customFormat="false" ht="15" hidden="false" customHeight="false" outlineLevel="0" collapsed="false">
      <c r="B59" s="0" t="s">
        <v>49</v>
      </c>
      <c r="C59" s="0" t="s">
        <v>17</v>
      </c>
      <c r="D59" s="0" t="s">
        <v>19</v>
      </c>
      <c r="E59" s="23" t="n">
        <v>34</v>
      </c>
      <c r="F59" s="24" t="n">
        <v>44612</v>
      </c>
      <c r="G59" s="30" t="n">
        <v>60130</v>
      </c>
      <c r="H59" s="0" t="s">
        <v>15</v>
      </c>
      <c r="I59" s="0" t="str">
        <f aca="false">"IND"</f>
        <v>IND</v>
      </c>
      <c r="J59" s="23" t="n">
        <f aca="false">TODAY()-staff[[#This Row],[Date Joined]]</f>
        <v>1357</v>
      </c>
      <c r="K59" s="23" t="n">
        <f aca="false">ROUNDUP(IF(staff[[#This Row],[Tenure]]&gt;2,3%,2%)*staff[[#This Row],[Salary]],0)</f>
        <v>1804</v>
      </c>
      <c r="L59" s="23" t="n">
        <f aca="false">_xlfn.xlookup(staff[[#This Row],[Rating]],Sheet2!$B$3:$B$7,Sheet2!$C$3:$C$7)</f>
        <v>3</v>
      </c>
    </row>
    <row r="60" customFormat="false" ht="15" hidden="false" customHeight="false" outlineLevel="0" collapsed="false">
      <c r="B60" s="0" t="s">
        <v>176</v>
      </c>
      <c r="C60" s="0" t="s">
        <v>17</v>
      </c>
      <c r="D60" s="0" t="s">
        <v>19</v>
      </c>
      <c r="E60" s="23" t="n">
        <v>34</v>
      </c>
      <c r="F60" s="24" t="n">
        <v>44550</v>
      </c>
      <c r="G60" s="30" t="n">
        <v>60130</v>
      </c>
      <c r="H60" s="0" t="s">
        <v>15</v>
      </c>
      <c r="I60" s="0" t="s">
        <v>208</v>
      </c>
      <c r="J60" s="23" t="n">
        <f aca="false">TODAY()-staff[[#This Row],[Date Joined]]</f>
        <v>1419</v>
      </c>
      <c r="K60" s="23" t="n">
        <f aca="false">ROUNDUP(IF(staff[[#This Row],[Tenure]]&gt;2,3%,2%)*staff[[#This Row],[Salary]],0)</f>
        <v>1804</v>
      </c>
      <c r="L60" s="23" t="n">
        <f aca="false">_xlfn.xlookup(staff[[#This Row],[Rating]],Sheet2!$B$3:$B$7,Sheet2!$C$3:$C$7)</f>
        <v>3</v>
      </c>
    </row>
    <row r="61" customFormat="false" ht="15" hidden="false" customHeight="false" outlineLevel="0" collapsed="false">
      <c r="B61" s="0" t="s">
        <v>90</v>
      </c>
      <c r="C61" s="0" t="s">
        <v>10</v>
      </c>
      <c r="D61" s="0" t="s">
        <v>14</v>
      </c>
      <c r="E61" s="23" t="n">
        <v>30</v>
      </c>
      <c r="F61" s="24" t="n">
        <v>44666</v>
      </c>
      <c r="G61" s="30" t="n">
        <v>60570</v>
      </c>
      <c r="H61" s="0" t="s">
        <v>15</v>
      </c>
      <c r="I61" s="0" t="str">
        <f aca="false">"IND"</f>
        <v>IND</v>
      </c>
      <c r="J61" s="23" t="n">
        <f aca="false">TODAY()-staff[[#This Row],[Date Joined]]</f>
        <v>1303</v>
      </c>
      <c r="K61" s="23" t="n">
        <f aca="false">ROUNDUP(IF(staff[[#This Row],[Tenure]]&gt;2,3%,2%)*staff[[#This Row],[Salary]],0)</f>
        <v>1818</v>
      </c>
      <c r="L61" s="23" t="n">
        <f aca="false">_xlfn.xlookup(staff[[#This Row],[Rating]],Sheet2!$B$3:$B$7,Sheet2!$C$3:$C$7)</f>
        <v>3</v>
      </c>
    </row>
    <row r="62" customFormat="false" ht="15" hidden="false" customHeight="false" outlineLevel="0" collapsed="false">
      <c r="B62" s="32" t="s">
        <v>182</v>
      </c>
      <c r="C62" s="32" t="s">
        <v>10</v>
      </c>
      <c r="D62" s="32" t="s">
        <v>14</v>
      </c>
      <c r="E62" s="33" t="n">
        <v>30</v>
      </c>
      <c r="F62" s="34" t="n">
        <v>44607</v>
      </c>
      <c r="G62" s="35" t="n">
        <v>60570</v>
      </c>
      <c r="H62" s="32" t="s">
        <v>15</v>
      </c>
      <c r="I62" s="32" t="s">
        <v>208</v>
      </c>
      <c r="J62" s="23" t="n">
        <f aca="false">TODAY()-staff[[#This Row],[Date Joined]]</f>
        <v>1362</v>
      </c>
      <c r="K62" s="23" t="n">
        <f aca="false">ROUNDUP(IF(staff[[#This Row],[Tenure]]&gt;2,3%,2%)*staff[[#This Row],[Salary]],0)</f>
        <v>1818</v>
      </c>
      <c r="L62" s="23" t="n">
        <f aca="false">_xlfn.xlookup(staff[[#This Row],[Rating]],Sheet2!$B$3:$B$7,Sheet2!$C$3:$C$7)</f>
        <v>3</v>
      </c>
    </row>
    <row r="63" customFormat="false" ht="15" hidden="false" customHeight="false" outlineLevel="0" collapsed="false">
      <c r="B63" s="0" t="s">
        <v>24</v>
      </c>
      <c r="C63" s="0" t="s">
        <v>17</v>
      </c>
      <c r="D63" s="0" t="s">
        <v>25</v>
      </c>
      <c r="E63" s="23" t="n">
        <v>24</v>
      </c>
      <c r="F63" s="24" t="n">
        <v>44148</v>
      </c>
      <c r="G63" s="30" t="n">
        <v>62780</v>
      </c>
      <c r="H63" s="0" t="s">
        <v>15</v>
      </c>
      <c r="I63" s="0" t="str">
        <f aca="false">"IND"</f>
        <v>IND</v>
      </c>
      <c r="J63" s="23" t="n">
        <f aca="false">TODAY()-staff[[#This Row],[Date Joined]]</f>
        <v>1821</v>
      </c>
      <c r="K63" s="23" t="n">
        <f aca="false">ROUNDUP(IF(staff[[#This Row],[Tenure]]&gt;2,3%,2%)*staff[[#This Row],[Salary]],0)</f>
        <v>1884</v>
      </c>
      <c r="L63" s="23" t="n">
        <f aca="false">_xlfn.xlookup(staff[[#This Row],[Rating]],Sheet2!$B$3:$B$7,Sheet2!$C$3:$C$7)</f>
        <v>3</v>
      </c>
    </row>
    <row r="64" customFormat="false" ht="15" hidden="false" customHeight="false" outlineLevel="0" collapsed="false">
      <c r="B64" s="0" t="s">
        <v>125</v>
      </c>
      <c r="C64" s="0" t="s">
        <v>17</v>
      </c>
      <c r="D64" s="0" t="s">
        <v>25</v>
      </c>
      <c r="E64" s="23" t="n">
        <v>24</v>
      </c>
      <c r="F64" s="24" t="n">
        <v>44087</v>
      </c>
      <c r="G64" s="30" t="n">
        <v>62780</v>
      </c>
      <c r="H64" s="0" t="s">
        <v>15</v>
      </c>
      <c r="I64" s="0" t="s">
        <v>208</v>
      </c>
      <c r="J64" s="23" t="n">
        <f aca="false">TODAY()-staff[[#This Row],[Date Joined]]</f>
        <v>1882</v>
      </c>
      <c r="K64" s="23" t="n">
        <f aca="false">ROUNDUP(IF(staff[[#This Row],[Tenure]]&gt;2,3%,2%)*staff[[#This Row],[Salary]],0)</f>
        <v>1884</v>
      </c>
      <c r="L64" s="23" t="n">
        <f aca="false">_xlfn.xlookup(staff[[#This Row],[Rating]],Sheet2!$B$3:$B$7,Sheet2!$C$3:$C$7)</f>
        <v>3</v>
      </c>
    </row>
    <row r="65" customFormat="false" ht="15" hidden="false" customHeight="false" outlineLevel="0" collapsed="false">
      <c r="B65" s="0" t="s">
        <v>43</v>
      </c>
      <c r="C65" s="0" t="s">
        <v>224</v>
      </c>
      <c r="D65" s="0" t="s">
        <v>19</v>
      </c>
      <c r="E65" s="23" t="n">
        <v>30</v>
      </c>
      <c r="F65" s="24" t="n">
        <v>44597</v>
      </c>
      <c r="G65" s="30" t="n">
        <v>64000</v>
      </c>
      <c r="H65" s="0" t="s">
        <v>15</v>
      </c>
      <c r="I65" s="0" t="str">
        <f aca="false">"IND"</f>
        <v>IND</v>
      </c>
      <c r="J65" s="23" t="n">
        <f aca="false">TODAY()-staff[[#This Row],[Date Joined]]</f>
        <v>1372</v>
      </c>
      <c r="K65" s="23" t="n">
        <f aca="false">ROUNDUP(IF(staff[[#This Row],[Tenure]]&gt;2,3%,2%)*staff[[#This Row],[Salary]],0)</f>
        <v>1920</v>
      </c>
      <c r="L65" s="23" t="n">
        <f aca="false">_xlfn.xlookup(staff[[#This Row],[Rating]],Sheet2!$B$3:$B$7,Sheet2!$C$3:$C$7)</f>
        <v>3</v>
      </c>
    </row>
    <row r="66" customFormat="false" ht="15" hidden="false" customHeight="false" outlineLevel="0" collapsed="false">
      <c r="B66" s="0" t="s">
        <v>172</v>
      </c>
      <c r="C66" s="0" t="s">
        <v>224</v>
      </c>
      <c r="D66" s="0" t="s">
        <v>19</v>
      </c>
      <c r="E66" s="23" t="n">
        <v>30</v>
      </c>
      <c r="F66" s="24" t="n">
        <v>44535</v>
      </c>
      <c r="G66" s="30" t="n">
        <v>64000</v>
      </c>
      <c r="H66" s="0" t="s">
        <v>15</v>
      </c>
      <c r="I66" s="0" t="s">
        <v>208</v>
      </c>
      <c r="J66" s="23" t="n">
        <f aca="false">TODAY()-staff[[#This Row],[Date Joined]]</f>
        <v>1434</v>
      </c>
      <c r="K66" s="23" t="n">
        <f aca="false">ROUNDUP(IF(staff[[#This Row],[Tenure]]&gt;2,3%,2%)*staff[[#This Row],[Salary]],0)</f>
        <v>1920</v>
      </c>
      <c r="L66" s="23" t="n">
        <f aca="false">_xlfn.xlookup(staff[[#This Row],[Rating]],Sheet2!$B$3:$B$7,Sheet2!$C$3:$C$7)</f>
        <v>3</v>
      </c>
    </row>
    <row r="67" customFormat="false" ht="15" hidden="false" customHeight="false" outlineLevel="0" collapsed="false">
      <c r="B67" s="0" t="s">
        <v>105</v>
      </c>
      <c r="C67" s="0" t="s">
        <v>17</v>
      </c>
      <c r="D67" s="0" t="s">
        <v>19</v>
      </c>
      <c r="E67" s="23" t="n">
        <v>33</v>
      </c>
      <c r="F67" s="24" t="n">
        <v>44067</v>
      </c>
      <c r="G67" s="30" t="n">
        <v>65360</v>
      </c>
      <c r="H67" s="0" t="s">
        <v>15</v>
      </c>
      <c r="I67" s="0" t="str">
        <f aca="false">"IND"</f>
        <v>IND</v>
      </c>
      <c r="J67" s="23" t="n">
        <f aca="false">TODAY()-staff[[#This Row],[Date Joined]]</f>
        <v>1902</v>
      </c>
      <c r="K67" s="23" t="n">
        <f aca="false">ROUNDUP(IF(staff[[#This Row],[Tenure]]&gt;2,3%,2%)*staff[[#This Row],[Salary]],0)</f>
        <v>1961</v>
      </c>
      <c r="L67" s="23" t="n">
        <f aca="false">_xlfn.xlookup(staff[[#This Row],[Rating]],Sheet2!$B$3:$B$7,Sheet2!$C$3:$C$7)</f>
        <v>3</v>
      </c>
    </row>
    <row r="68" customFormat="false" ht="15" hidden="false" customHeight="false" outlineLevel="0" collapsed="false">
      <c r="B68" s="32" t="s">
        <v>118</v>
      </c>
      <c r="C68" s="32" t="s">
        <v>17</v>
      </c>
      <c r="D68" s="32" t="s">
        <v>19</v>
      </c>
      <c r="E68" s="33" t="n">
        <v>33</v>
      </c>
      <c r="F68" s="34" t="n">
        <v>44006</v>
      </c>
      <c r="G68" s="35" t="n">
        <v>65360</v>
      </c>
      <c r="H68" s="32" t="s">
        <v>15</v>
      </c>
      <c r="I68" s="32" t="s">
        <v>208</v>
      </c>
      <c r="J68" s="23" t="n">
        <f aca="false">TODAY()-staff[[#This Row],[Date Joined]]</f>
        <v>1963</v>
      </c>
      <c r="K68" s="23" t="n">
        <f aca="false">ROUNDUP(IF(staff[[#This Row],[Tenure]]&gt;2,3%,2%)*staff[[#This Row],[Salary]],0)</f>
        <v>1961</v>
      </c>
      <c r="L68" s="23" t="n">
        <f aca="false">_xlfn.xlookup(staff[[#This Row],[Rating]],Sheet2!$B$3:$B$7,Sheet2!$C$3:$C$7)</f>
        <v>3</v>
      </c>
    </row>
    <row r="69" customFormat="false" ht="15" hidden="false" customHeight="false" outlineLevel="0" collapsed="false">
      <c r="B69" s="0" t="s">
        <v>30</v>
      </c>
      <c r="C69" s="0" t="s">
        <v>10</v>
      </c>
      <c r="D69" s="0" t="s">
        <v>11</v>
      </c>
      <c r="E69" s="23" t="n">
        <v>25</v>
      </c>
      <c r="F69" s="24" t="n">
        <v>44383</v>
      </c>
      <c r="G69" s="30" t="n">
        <v>65700</v>
      </c>
      <c r="H69" s="0" t="s">
        <v>15</v>
      </c>
      <c r="I69" s="0" t="str">
        <f aca="false">"IND"</f>
        <v>IND</v>
      </c>
      <c r="J69" s="23" t="n">
        <f aca="false">TODAY()-staff[[#This Row],[Date Joined]]</f>
        <v>1586</v>
      </c>
      <c r="K69" s="23" t="n">
        <f aca="false">ROUNDUP(IF(staff[[#This Row],[Tenure]]&gt;2,3%,2%)*staff[[#This Row],[Salary]],0)</f>
        <v>1971</v>
      </c>
      <c r="L69" s="23" t="n">
        <f aca="false">_xlfn.xlookup(staff[[#This Row],[Rating]],Sheet2!$B$3:$B$7,Sheet2!$C$3:$C$7)</f>
        <v>3</v>
      </c>
    </row>
    <row r="70" customFormat="false" ht="15" hidden="false" customHeight="false" outlineLevel="0" collapsed="false">
      <c r="B70" s="0" t="s">
        <v>151</v>
      </c>
      <c r="C70" s="0" t="s">
        <v>10</v>
      </c>
      <c r="D70" s="0" t="s">
        <v>11</v>
      </c>
      <c r="E70" s="23" t="n">
        <v>25</v>
      </c>
      <c r="F70" s="24" t="n">
        <v>44322</v>
      </c>
      <c r="G70" s="30" t="n">
        <v>65700</v>
      </c>
      <c r="H70" s="0" t="s">
        <v>15</v>
      </c>
      <c r="I70" s="0" t="s">
        <v>208</v>
      </c>
      <c r="J70" s="23" t="n">
        <f aca="false">TODAY()-staff[[#This Row],[Date Joined]]</f>
        <v>1647</v>
      </c>
      <c r="K70" s="23" t="n">
        <f aca="false">ROUNDUP(IF(staff[[#This Row],[Tenure]]&gt;2,3%,2%)*staff[[#This Row],[Salary]],0)</f>
        <v>1971</v>
      </c>
      <c r="L70" s="23" t="n">
        <f aca="false">_xlfn.xlookup(staff[[#This Row],[Rating]],Sheet2!$B$3:$B$7,Sheet2!$C$3:$C$7)</f>
        <v>3</v>
      </c>
    </row>
    <row r="71" customFormat="false" ht="15" hidden="false" customHeight="false" outlineLevel="0" collapsed="false">
      <c r="B71" s="0" t="s">
        <v>88</v>
      </c>
      <c r="C71" s="0" t="s">
        <v>17</v>
      </c>
      <c r="D71" s="0" t="s">
        <v>19</v>
      </c>
      <c r="E71" s="23" t="n">
        <v>21</v>
      </c>
      <c r="F71" s="24" t="n">
        <v>44317</v>
      </c>
      <c r="G71" s="30" t="n">
        <v>65920</v>
      </c>
      <c r="H71" s="0" t="s">
        <v>15</v>
      </c>
      <c r="I71" s="0" t="str">
        <f aca="false">"IND"</f>
        <v>IND</v>
      </c>
      <c r="J71" s="23" t="n">
        <f aca="false">TODAY()-staff[[#This Row],[Date Joined]]</f>
        <v>1652</v>
      </c>
      <c r="K71" s="23" t="n">
        <f aca="false">ROUNDUP(IF(staff[[#This Row],[Tenure]]&gt;2,3%,2%)*staff[[#This Row],[Salary]],0)</f>
        <v>1978</v>
      </c>
      <c r="L71" s="23" t="n">
        <f aca="false">_xlfn.xlookup(staff[[#This Row],[Rating]],Sheet2!$B$3:$B$7,Sheet2!$C$3:$C$7)</f>
        <v>3</v>
      </c>
    </row>
    <row r="72" customFormat="false" ht="15" hidden="false" customHeight="false" outlineLevel="0" collapsed="false">
      <c r="B72" s="0" t="s">
        <v>141</v>
      </c>
      <c r="C72" s="0" t="s">
        <v>17</v>
      </c>
      <c r="D72" s="0" t="s">
        <v>19</v>
      </c>
      <c r="E72" s="23" t="n">
        <v>21</v>
      </c>
      <c r="F72" s="24" t="n">
        <v>44256</v>
      </c>
      <c r="G72" s="30" t="n">
        <v>65920</v>
      </c>
      <c r="H72" s="0" t="s">
        <v>15</v>
      </c>
      <c r="I72" s="0" t="s">
        <v>208</v>
      </c>
      <c r="J72" s="23" t="n">
        <f aca="false">TODAY()-staff[[#This Row],[Date Joined]]</f>
        <v>1713</v>
      </c>
      <c r="K72" s="23" t="n">
        <f aca="false">ROUNDUP(IF(staff[[#This Row],[Tenure]]&gt;2,3%,2%)*staff[[#This Row],[Salary]],0)</f>
        <v>1978</v>
      </c>
      <c r="L72" s="23" t="n">
        <f aca="false">_xlfn.xlookup(staff[[#This Row],[Rating]],Sheet2!$B$3:$B$7,Sheet2!$C$3:$C$7)</f>
        <v>3</v>
      </c>
    </row>
    <row r="73" customFormat="false" ht="15" hidden="false" customHeight="false" outlineLevel="0" collapsed="false">
      <c r="B73" s="0" t="s">
        <v>40</v>
      </c>
      <c r="C73" s="0" t="s">
        <v>17</v>
      </c>
      <c r="D73" s="0" t="s">
        <v>19</v>
      </c>
      <c r="E73" s="23" t="n">
        <v>30</v>
      </c>
      <c r="F73" s="24" t="n">
        <v>44389</v>
      </c>
      <c r="G73" s="30" t="n">
        <v>67910</v>
      </c>
      <c r="H73" s="0" t="s">
        <v>20</v>
      </c>
      <c r="I73" s="0" t="str">
        <f aca="false">"IND"</f>
        <v>IND</v>
      </c>
      <c r="J73" s="23" t="n">
        <f aca="false">TODAY()-staff[[#This Row],[Date Joined]]</f>
        <v>1580</v>
      </c>
      <c r="K73" s="23" t="n">
        <f aca="false">ROUNDUP(IF(staff[[#This Row],[Tenure]]&gt;2,3%,2%)*staff[[#This Row],[Salary]],0)</f>
        <v>2038</v>
      </c>
      <c r="L73" s="23" t="n">
        <f aca="false">_xlfn.xlookup(staff[[#This Row],[Rating]],Sheet2!$B$3:$B$7,Sheet2!$C$3:$C$7)</f>
        <v>2</v>
      </c>
    </row>
    <row r="74" customFormat="false" ht="15" hidden="false" customHeight="false" outlineLevel="0" collapsed="false">
      <c r="B74" s="0" t="s">
        <v>153</v>
      </c>
      <c r="C74" s="0" t="s">
        <v>17</v>
      </c>
      <c r="D74" s="0" t="s">
        <v>19</v>
      </c>
      <c r="E74" s="23" t="n">
        <v>30</v>
      </c>
      <c r="F74" s="24" t="n">
        <v>44328</v>
      </c>
      <c r="G74" s="30" t="n">
        <v>67910</v>
      </c>
      <c r="H74" s="0" t="s">
        <v>20</v>
      </c>
      <c r="I74" s="0" t="s">
        <v>208</v>
      </c>
      <c r="J74" s="23" t="n">
        <f aca="false">TODAY()-staff[[#This Row],[Date Joined]]</f>
        <v>1641</v>
      </c>
      <c r="K74" s="23" t="n">
        <f aca="false">ROUNDUP(IF(staff[[#This Row],[Tenure]]&gt;2,3%,2%)*staff[[#This Row],[Salary]],0)</f>
        <v>2038</v>
      </c>
      <c r="L74" s="23" t="n">
        <f aca="false">_xlfn.xlookup(staff[[#This Row],[Rating]],Sheet2!$B$3:$B$7,Sheet2!$C$3:$C$7)</f>
        <v>2</v>
      </c>
    </row>
    <row r="75" customFormat="false" ht="15" hidden="false" customHeight="false" outlineLevel="0" collapsed="false">
      <c r="B75" s="0" t="s">
        <v>109</v>
      </c>
      <c r="C75" s="0" t="s">
        <v>10</v>
      </c>
      <c r="D75" s="0" t="s">
        <v>14</v>
      </c>
      <c r="E75" s="23" t="n">
        <v>30</v>
      </c>
      <c r="F75" s="24" t="n">
        <v>44701</v>
      </c>
      <c r="G75" s="30" t="n">
        <v>67950</v>
      </c>
      <c r="H75" s="0" t="s">
        <v>15</v>
      </c>
      <c r="I75" s="0" t="str">
        <f aca="false">"IND"</f>
        <v>IND</v>
      </c>
      <c r="J75" s="23" t="n">
        <f aca="false">TODAY()-staff[[#This Row],[Date Joined]]</f>
        <v>1268</v>
      </c>
      <c r="K75" s="23" t="n">
        <f aca="false">ROUNDUP(IF(staff[[#This Row],[Tenure]]&gt;2,3%,2%)*staff[[#This Row],[Salary]],0)</f>
        <v>2039</v>
      </c>
      <c r="L75" s="23" t="n">
        <f aca="false">_xlfn.xlookup(staff[[#This Row],[Rating]],Sheet2!$B$3:$B$7,Sheet2!$C$3:$C$7)</f>
        <v>3</v>
      </c>
    </row>
    <row r="76" customFormat="false" ht="15" hidden="false" customHeight="false" outlineLevel="0" collapsed="false">
      <c r="B76" s="0" t="s">
        <v>188</v>
      </c>
      <c r="C76" s="0" t="s">
        <v>10</v>
      </c>
      <c r="D76" s="0" t="s">
        <v>14</v>
      </c>
      <c r="E76" s="23" t="n">
        <v>30</v>
      </c>
      <c r="F76" s="24" t="n">
        <v>44640</v>
      </c>
      <c r="G76" s="30" t="n">
        <v>67950</v>
      </c>
      <c r="H76" s="0" t="s">
        <v>15</v>
      </c>
      <c r="I76" s="0" t="s">
        <v>208</v>
      </c>
      <c r="J76" s="23" t="n">
        <f aca="false">TODAY()-staff[[#This Row],[Date Joined]]</f>
        <v>1329</v>
      </c>
      <c r="K76" s="23" t="n">
        <f aca="false">ROUNDUP(IF(staff[[#This Row],[Tenure]]&gt;2,3%,2%)*staff[[#This Row],[Salary]],0)</f>
        <v>2039</v>
      </c>
      <c r="L76" s="23" t="n">
        <f aca="false">_xlfn.xlookup(staff[[#This Row],[Rating]],Sheet2!$B$3:$B$7,Sheet2!$C$3:$C$7)</f>
        <v>3</v>
      </c>
    </row>
    <row r="77" customFormat="false" ht="15" hidden="false" customHeight="false" outlineLevel="0" collapsed="false">
      <c r="B77" s="0" t="s">
        <v>67</v>
      </c>
      <c r="C77" s="0" t="s">
        <v>17</v>
      </c>
      <c r="D77" s="0" t="s">
        <v>11</v>
      </c>
      <c r="E77" s="23" t="n">
        <v>20</v>
      </c>
      <c r="F77" s="24" t="n">
        <v>44537</v>
      </c>
      <c r="G77" s="30" t="n">
        <v>68900</v>
      </c>
      <c r="H77" s="0" t="s">
        <v>20</v>
      </c>
      <c r="I77" s="0" t="str">
        <f aca="false">"IND"</f>
        <v>IND</v>
      </c>
      <c r="J77" s="23" t="n">
        <f aca="false">TODAY()-staff[[#This Row],[Date Joined]]</f>
        <v>1432</v>
      </c>
      <c r="K77" s="23" t="n">
        <f aca="false">ROUNDUP(IF(staff[[#This Row],[Tenure]]&gt;2,3%,2%)*staff[[#This Row],[Salary]],0)</f>
        <v>2067</v>
      </c>
      <c r="L77" s="23" t="n">
        <f aca="false">_xlfn.xlookup(staff[[#This Row],[Rating]],Sheet2!$B$3:$B$7,Sheet2!$C$3:$C$7)</f>
        <v>2</v>
      </c>
    </row>
    <row r="78" customFormat="false" ht="15" hidden="false" customHeight="false" outlineLevel="0" collapsed="false">
      <c r="B78" s="32" t="s">
        <v>170</v>
      </c>
      <c r="C78" s="32" t="s">
        <v>17</v>
      </c>
      <c r="D78" s="32" t="s">
        <v>11</v>
      </c>
      <c r="E78" s="33" t="n">
        <v>20</v>
      </c>
      <c r="F78" s="34" t="n">
        <v>44476</v>
      </c>
      <c r="G78" s="35" t="n">
        <v>68900</v>
      </c>
      <c r="H78" s="32" t="s">
        <v>20</v>
      </c>
      <c r="I78" s="32" t="s">
        <v>208</v>
      </c>
      <c r="J78" s="23" t="n">
        <f aca="false">TODAY()-staff[[#This Row],[Date Joined]]</f>
        <v>1493</v>
      </c>
      <c r="K78" s="23" t="n">
        <f aca="false">ROUNDUP(IF(staff[[#This Row],[Tenure]]&gt;2,3%,2%)*staff[[#This Row],[Salary]],0)</f>
        <v>2067</v>
      </c>
      <c r="L78" s="23" t="n">
        <f aca="false">_xlfn.xlookup(staff[[#This Row],[Rating]],Sheet2!$B$3:$B$7,Sheet2!$C$3:$C$7)</f>
        <v>2</v>
      </c>
    </row>
    <row r="79" customFormat="false" ht="15" hidden="false" customHeight="false" outlineLevel="0" collapsed="false">
      <c r="B79" s="0" t="s">
        <v>31</v>
      </c>
      <c r="C79" s="0" t="s">
        <v>10</v>
      </c>
      <c r="D79" s="0" t="s">
        <v>25</v>
      </c>
      <c r="E79" s="23" t="n">
        <v>37</v>
      </c>
      <c r="F79" s="24" t="n">
        <v>44701</v>
      </c>
      <c r="G79" s="30" t="n">
        <v>69070</v>
      </c>
      <c r="H79" s="0" t="s">
        <v>15</v>
      </c>
      <c r="I79" s="0" t="str">
        <f aca="false">"IND"</f>
        <v>IND</v>
      </c>
      <c r="J79" s="23" t="n">
        <f aca="false">TODAY()-staff[[#This Row],[Date Joined]]</f>
        <v>1268</v>
      </c>
      <c r="K79" s="23" t="n">
        <f aca="false">ROUNDUP(IF(staff[[#This Row],[Tenure]]&gt;2,3%,2%)*staff[[#This Row],[Salary]],0)</f>
        <v>2073</v>
      </c>
      <c r="L79" s="23" t="n">
        <f aca="false">_xlfn.xlookup(staff[[#This Row],[Rating]],Sheet2!$B$3:$B$7,Sheet2!$C$3:$C$7)</f>
        <v>3</v>
      </c>
    </row>
    <row r="80" customFormat="false" ht="15" hidden="false" customHeight="false" outlineLevel="0" collapsed="false">
      <c r="B80" s="32" t="s">
        <v>187</v>
      </c>
      <c r="C80" s="32" t="s">
        <v>10</v>
      </c>
      <c r="D80" s="32" t="s">
        <v>25</v>
      </c>
      <c r="E80" s="33" t="n">
        <v>37</v>
      </c>
      <c r="F80" s="34" t="n">
        <v>44640</v>
      </c>
      <c r="G80" s="35" t="n">
        <v>69070</v>
      </c>
      <c r="H80" s="32" t="s">
        <v>15</v>
      </c>
      <c r="I80" s="32" t="s">
        <v>208</v>
      </c>
      <c r="J80" s="23" t="n">
        <f aca="false">TODAY()-staff[[#This Row],[Date Joined]]</f>
        <v>1329</v>
      </c>
      <c r="K80" s="23" t="n">
        <f aca="false">ROUNDUP(IF(staff[[#This Row],[Tenure]]&gt;2,3%,2%)*staff[[#This Row],[Salary]],0)</f>
        <v>2073</v>
      </c>
      <c r="L80" s="23" t="n">
        <f aca="false">_xlfn.xlookup(staff[[#This Row],[Rating]],Sheet2!$B$3:$B$7,Sheet2!$C$3:$C$7)</f>
        <v>3</v>
      </c>
    </row>
    <row r="81" customFormat="false" ht="15" hidden="false" customHeight="false" outlineLevel="0" collapsed="false">
      <c r="B81" s="0" t="s">
        <v>78</v>
      </c>
      <c r="C81" s="0" t="s">
        <v>10</v>
      </c>
      <c r="D81" s="0" t="s">
        <v>25</v>
      </c>
      <c r="E81" s="23" t="n">
        <v>30</v>
      </c>
      <c r="F81" s="24" t="n">
        <v>44273</v>
      </c>
      <c r="G81" s="30" t="n">
        <v>69120</v>
      </c>
      <c r="H81" s="0" t="s">
        <v>15</v>
      </c>
      <c r="I81" s="0" t="str">
        <f aca="false">"IND"</f>
        <v>IND</v>
      </c>
      <c r="J81" s="23" t="n">
        <f aca="false">TODAY()-staff[[#This Row],[Date Joined]]</f>
        <v>1696</v>
      </c>
      <c r="K81" s="23" t="n">
        <f aca="false">ROUNDUP(IF(staff[[#This Row],[Tenure]]&gt;2,3%,2%)*staff[[#This Row],[Salary]],0)</f>
        <v>2074</v>
      </c>
      <c r="L81" s="23" t="n">
        <f aca="false">_xlfn.xlookup(staff[[#This Row],[Rating]],Sheet2!$B$3:$B$7,Sheet2!$C$3:$C$7)</f>
        <v>3</v>
      </c>
    </row>
    <row r="82" customFormat="false" ht="15" hidden="false" customHeight="false" outlineLevel="0" collapsed="false">
      <c r="B82" s="32" t="s">
        <v>138</v>
      </c>
      <c r="C82" s="32" t="s">
        <v>10</v>
      </c>
      <c r="D82" s="32" t="s">
        <v>25</v>
      </c>
      <c r="E82" s="33" t="n">
        <v>30</v>
      </c>
      <c r="F82" s="34" t="n">
        <v>44214</v>
      </c>
      <c r="G82" s="35" t="n">
        <v>69120</v>
      </c>
      <c r="H82" s="32" t="s">
        <v>15</v>
      </c>
      <c r="I82" s="32" t="s">
        <v>208</v>
      </c>
      <c r="J82" s="23" t="n">
        <f aca="false">TODAY()-staff[[#This Row],[Date Joined]]</f>
        <v>1755</v>
      </c>
      <c r="K82" s="23" t="n">
        <f aca="false">ROUNDUP(IF(staff[[#This Row],[Tenure]]&gt;2,3%,2%)*staff[[#This Row],[Salary]],0)</f>
        <v>2074</v>
      </c>
      <c r="L82" s="23" t="n">
        <f aca="false">_xlfn.xlookup(staff[[#This Row],[Rating]],Sheet2!$B$3:$B$7,Sheet2!$C$3:$C$7)</f>
        <v>3</v>
      </c>
    </row>
    <row r="83" customFormat="false" ht="15" hidden="false" customHeight="false" outlineLevel="0" collapsed="false">
      <c r="B83" s="0" t="s">
        <v>74</v>
      </c>
      <c r="C83" s="0" t="s">
        <v>10</v>
      </c>
      <c r="D83" s="0" t="s">
        <v>25</v>
      </c>
      <c r="E83" s="23" t="n">
        <v>30</v>
      </c>
      <c r="F83" s="24" t="n">
        <v>44850</v>
      </c>
      <c r="G83" s="30" t="n">
        <v>69710</v>
      </c>
      <c r="H83" s="0" t="s">
        <v>15</v>
      </c>
      <c r="I83" s="0" t="str">
        <f aca="false">"IND"</f>
        <v>IND</v>
      </c>
      <c r="J83" s="23" t="n">
        <f aca="false">TODAY()-staff[[#This Row],[Date Joined]]</f>
        <v>1119</v>
      </c>
      <c r="K83" s="23" t="n">
        <f aca="false">ROUNDUP(IF(staff[[#This Row],[Tenure]]&gt;2,3%,2%)*staff[[#This Row],[Salary]],0)</f>
        <v>2092</v>
      </c>
      <c r="L83" s="23" t="n">
        <f aca="false">_xlfn.xlookup(staff[[#This Row],[Rating]],Sheet2!$B$3:$B$7,Sheet2!$C$3:$C$7)</f>
        <v>3</v>
      </c>
    </row>
    <row r="84" customFormat="false" ht="15" hidden="false" customHeight="false" outlineLevel="0" collapsed="false">
      <c r="B84" s="0" t="s">
        <v>203</v>
      </c>
      <c r="C84" s="0" t="s">
        <v>10</v>
      </c>
      <c r="D84" s="0" t="s">
        <v>25</v>
      </c>
      <c r="E84" s="23" t="n">
        <v>30</v>
      </c>
      <c r="F84" s="24" t="n">
        <v>44789</v>
      </c>
      <c r="G84" s="30" t="n">
        <v>69710</v>
      </c>
      <c r="H84" s="0" t="s">
        <v>15</v>
      </c>
      <c r="I84" s="0" t="s">
        <v>208</v>
      </c>
      <c r="J84" s="23" t="n">
        <f aca="false">TODAY()-staff[[#This Row],[Date Joined]]</f>
        <v>1180</v>
      </c>
      <c r="K84" s="23" t="n">
        <f aca="false">ROUNDUP(IF(staff[[#This Row],[Tenure]]&gt;2,3%,2%)*staff[[#This Row],[Salary]],0)</f>
        <v>2092</v>
      </c>
      <c r="L84" s="23" t="n">
        <f aca="false">_xlfn.xlookup(staff[[#This Row],[Rating]],Sheet2!$B$3:$B$7,Sheet2!$C$3:$C$7)</f>
        <v>3</v>
      </c>
    </row>
    <row r="85" customFormat="false" ht="15" hidden="false" customHeight="false" outlineLevel="0" collapsed="false">
      <c r="B85" s="0" t="s">
        <v>110</v>
      </c>
      <c r="C85" s="0" t="s">
        <v>10</v>
      </c>
      <c r="D85" s="0" t="s">
        <v>19</v>
      </c>
      <c r="E85" s="23" t="n">
        <v>42</v>
      </c>
      <c r="F85" s="24" t="n">
        <v>44731</v>
      </c>
      <c r="G85" s="30" t="n">
        <v>70270</v>
      </c>
      <c r="H85" s="0" t="s">
        <v>20</v>
      </c>
      <c r="I85" s="0" t="str">
        <f aca="false">"IND"</f>
        <v>IND</v>
      </c>
      <c r="J85" s="23" t="n">
        <f aca="false">TODAY()-staff[[#This Row],[Date Joined]]</f>
        <v>1238</v>
      </c>
      <c r="K85" s="23" t="n">
        <f aca="false">ROUNDUP(IF(staff[[#This Row],[Tenure]]&gt;2,3%,2%)*staff[[#This Row],[Salary]],0)</f>
        <v>2109</v>
      </c>
      <c r="L85" s="23" t="n">
        <f aca="false">_xlfn.xlookup(staff[[#This Row],[Rating]],Sheet2!$B$3:$B$7,Sheet2!$C$3:$C$7)</f>
        <v>2</v>
      </c>
    </row>
    <row r="86" customFormat="false" ht="15" hidden="false" customHeight="false" outlineLevel="0" collapsed="false">
      <c r="B86" s="0" t="s">
        <v>195</v>
      </c>
      <c r="C86" s="0" t="s">
        <v>10</v>
      </c>
      <c r="D86" s="0" t="s">
        <v>19</v>
      </c>
      <c r="E86" s="23" t="n">
        <v>42</v>
      </c>
      <c r="F86" s="24" t="n">
        <v>44670</v>
      </c>
      <c r="G86" s="30" t="n">
        <v>70270</v>
      </c>
      <c r="H86" s="0" t="s">
        <v>20</v>
      </c>
      <c r="I86" s="0" t="s">
        <v>208</v>
      </c>
      <c r="J86" s="23" t="n">
        <f aca="false">TODAY()-staff[[#This Row],[Date Joined]]</f>
        <v>1299</v>
      </c>
      <c r="K86" s="23" t="n">
        <f aca="false">ROUNDUP(IF(staff[[#This Row],[Tenure]]&gt;2,3%,2%)*staff[[#This Row],[Salary]],0)</f>
        <v>2109</v>
      </c>
      <c r="L86" s="23" t="n">
        <f aca="false">_xlfn.xlookup(staff[[#This Row],[Rating]],Sheet2!$B$3:$B$7,Sheet2!$C$3:$C$7)</f>
        <v>2</v>
      </c>
    </row>
    <row r="87" customFormat="false" ht="15" hidden="false" customHeight="false" outlineLevel="0" collapsed="false">
      <c r="B87" s="0" t="s">
        <v>13</v>
      </c>
      <c r="C87" s="0" t="s">
        <v>10</v>
      </c>
      <c r="D87" s="0" t="s">
        <v>14</v>
      </c>
      <c r="E87" s="23" t="n">
        <v>46</v>
      </c>
      <c r="F87" s="24" t="n">
        <v>44758</v>
      </c>
      <c r="G87" s="30" t="n">
        <v>70610</v>
      </c>
      <c r="H87" s="0" t="s">
        <v>15</v>
      </c>
      <c r="I87" s="0" t="str">
        <f aca="false">"IND"</f>
        <v>IND</v>
      </c>
      <c r="J87" s="23" t="n">
        <f aca="false">TODAY()-staff[[#This Row],[Date Joined]]</f>
        <v>1211</v>
      </c>
      <c r="K87" s="23" t="n">
        <f aca="false">ROUNDUP(IF(staff[[#This Row],[Tenure]]&gt;2,3%,2%)*staff[[#This Row],[Salary]],0)</f>
        <v>2119</v>
      </c>
      <c r="L87" s="23" t="n">
        <f aca="false">_xlfn.xlookup(staff[[#This Row],[Rating]],Sheet2!$B$3:$B$7,Sheet2!$C$3:$C$7)</f>
        <v>3</v>
      </c>
    </row>
    <row r="88" customFormat="false" ht="15" hidden="false" customHeight="false" outlineLevel="0" collapsed="false">
      <c r="B88" s="32" t="s">
        <v>197</v>
      </c>
      <c r="C88" s="32" t="s">
        <v>10</v>
      </c>
      <c r="D88" s="32" t="s">
        <v>14</v>
      </c>
      <c r="E88" s="33" t="n">
        <v>46</v>
      </c>
      <c r="F88" s="34" t="n">
        <v>44697</v>
      </c>
      <c r="G88" s="35" t="n">
        <v>70610</v>
      </c>
      <c r="H88" s="32" t="s">
        <v>15</v>
      </c>
      <c r="I88" s="32" t="s">
        <v>208</v>
      </c>
      <c r="J88" s="23" t="n">
        <f aca="false">TODAY()-staff[[#This Row],[Date Joined]]</f>
        <v>1272</v>
      </c>
      <c r="K88" s="23" t="n">
        <f aca="false">ROUNDUP(IF(staff[[#This Row],[Tenure]]&gt;2,3%,2%)*staff[[#This Row],[Salary]],0)</f>
        <v>2119</v>
      </c>
      <c r="L88" s="23" t="n">
        <f aca="false">_xlfn.xlookup(staff[[#This Row],[Rating]],Sheet2!$B$3:$B$7,Sheet2!$C$3:$C$7)</f>
        <v>3</v>
      </c>
    </row>
    <row r="89" customFormat="false" ht="15" hidden="false" customHeight="false" outlineLevel="0" collapsed="false">
      <c r="B89" s="0" t="s">
        <v>75</v>
      </c>
      <c r="C89" s="0" t="s">
        <v>10</v>
      </c>
      <c r="D89" s="0" t="s">
        <v>19</v>
      </c>
      <c r="E89" s="23" t="n">
        <v>36</v>
      </c>
      <c r="F89" s="24" t="n">
        <v>44333</v>
      </c>
      <c r="G89" s="30" t="n">
        <v>71380</v>
      </c>
      <c r="H89" s="0" t="s">
        <v>15</v>
      </c>
      <c r="I89" s="0" t="str">
        <f aca="false">"IND"</f>
        <v>IND</v>
      </c>
      <c r="J89" s="23" t="n">
        <f aca="false">TODAY()-staff[[#This Row],[Date Joined]]</f>
        <v>1636</v>
      </c>
      <c r="K89" s="23" t="n">
        <f aca="false">ROUNDUP(IF(staff[[#This Row],[Tenure]]&gt;2,3%,2%)*staff[[#This Row],[Salary]],0)</f>
        <v>2142</v>
      </c>
      <c r="L89" s="23" t="n">
        <f aca="false">_xlfn.xlookup(staff[[#This Row],[Rating]],Sheet2!$B$3:$B$7,Sheet2!$C$3:$C$7)</f>
        <v>3</v>
      </c>
    </row>
    <row r="90" customFormat="false" ht="15" hidden="false" customHeight="false" outlineLevel="0" collapsed="false">
      <c r="B90" s="32" t="s">
        <v>143</v>
      </c>
      <c r="C90" s="32" t="s">
        <v>10</v>
      </c>
      <c r="D90" s="32" t="s">
        <v>19</v>
      </c>
      <c r="E90" s="33" t="n">
        <v>36</v>
      </c>
      <c r="F90" s="34" t="n">
        <v>44272</v>
      </c>
      <c r="G90" s="35" t="n">
        <v>71380</v>
      </c>
      <c r="H90" s="32" t="s">
        <v>15</v>
      </c>
      <c r="I90" s="32" t="s">
        <v>208</v>
      </c>
      <c r="J90" s="23" t="n">
        <f aca="false">TODAY()-staff[[#This Row],[Date Joined]]</f>
        <v>1697</v>
      </c>
      <c r="K90" s="23" t="n">
        <f aca="false">ROUNDUP(IF(staff[[#This Row],[Tenure]]&gt;2,3%,2%)*staff[[#This Row],[Salary]],0)</f>
        <v>2142</v>
      </c>
      <c r="L90" s="23" t="n">
        <f aca="false">_xlfn.xlookup(staff[[#This Row],[Rating]],Sheet2!$B$3:$B$7,Sheet2!$C$3:$C$7)</f>
        <v>3</v>
      </c>
    </row>
    <row r="91" customFormat="false" ht="15" hidden="false" customHeight="false" outlineLevel="0" collapsed="false">
      <c r="B91" s="0" t="s">
        <v>108</v>
      </c>
      <c r="C91" s="0" t="s">
        <v>10</v>
      </c>
      <c r="D91" s="0" t="s">
        <v>11</v>
      </c>
      <c r="E91" s="23" t="n">
        <v>33</v>
      </c>
      <c r="F91" s="24" t="n">
        <v>44385</v>
      </c>
      <c r="G91" s="30" t="n">
        <v>74550</v>
      </c>
      <c r="H91" s="0" t="s">
        <v>15</v>
      </c>
      <c r="I91" s="0" t="str">
        <f aca="false">"IND"</f>
        <v>IND</v>
      </c>
      <c r="J91" s="23" t="n">
        <f aca="false">TODAY()-staff[[#This Row],[Date Joined]]</f>
        <v>1584</v>
      </c>
      <c r="K91" s="23" t="n">
        <f aca="false">ROUNDUP(IF(staff[[#This Row],[Tenure]]&gt;2,3%,2%)*staff[[#This Row],[Salary]],0)</f>
        <v>2237</v>
      </c>
      <c r="L91" s="23" t="n">
        <f aca="false">_xlfn.xlookup(staff[[#This Row],[Rating]],Sheet2!$B$3:$B$7,Sheet2!$C$3:$C$7)</f>
        <v>3</v>
      </c>
    </row>
    <row r="92" customFormat="false" ht="15" hidden="false" customHeight="false" outlineLevel="0" collapsed="false">
      <c r="B92" s="32" t="s">
        <v>152</v>
      </c>
      <c r="C92" s="32" t="s">
        <v>10</v>
      </c>
      <c r="D92" s="32" t="s">
        <v>11</v>
      </c>
      <c r="E92" s="33" t="n">
        <v>33</v>
      </c>
      <c r="F92" s="34" t="n">
        <v>44324</v>
      </c>
      <c r="G92" s="35" t="n">
        <v>74550</v>
      </c>
      <c r="H92" s="32" t="s">
        <v>15</v>
      </c>
      <c r="I92" s="32" t="s">
        <v>208</v>
      </c>
      <c r="J92" s="23" t="n">
        <f aca="false">TODAY()-staff[[#This Row],[Date Joined]]</f>
        <v>1645</v>
      </c>
      <c r="K92" s="23" t="n">
        <f aca="false">ROUNDUP(IF(staff[[#This Row],[Tenure]]&gt;2,3%,2%)*staff[[#This Row],[Salary]],0)</f>
        <v>2237</v>
      </c>
      <c r="L92" s="23" t="n">
        <f aca="false">_xlfn.xlookup(staff[[#This Row],[Rating]],Sheet2!$B$3:$B$7,Sheet2!$C$3:$C$7)</f>
        <v>3</v>
      </c>
    </row>
    <row r="93" customFormat="false" ht="15" hidden="false" customHeight="false" outlineLevel="0" collapsed="false">
      <c r="B93" s="0" t="s">
        <v>44</v>
      </c>
      <c r="C93" s="0" t="s">
        <v>17</v>
      </c>
      <c r="D93" s="0" t="s">
        <v>14</v>
      </c>
      <c r="E93" s="23" t="n">
        <v>42</v>
      </c>
      <c r="F93" s="24" t="n">
        <v>44779</v>
      </c>
      <c r="G93" s="30" t="n">
        <v>75000</v>
      </c>
      <c r="H93" s="0" t="s">
        <v>45</v>
      </c>
      <c r="I93" s="0" t="str">
        <f aca="false">"IND"</f>
        <v>IND</v>
      </c>
      <c r="J93" s="23" t="n">
        <f aca="false">TODAY()-staff[[#This Row],[Date Joined]]</f>
        <v>1190</v>
      </c>
      <c r="K93" s="23" t="n">
        <f aca="false">ROUNDUP(IF(staff[[#This Row],[Tenure]]&gt;2,3%,2%)*staff[[#This Row],[Salary]],0)</f>
        <v>2250</v>
      </c>
      <c r="L93" s="23" t="n">
        <f aca="false">_xlfn.xlookup(staff[[#This Row],[Rating]],Sheet2!$B$3:$B$7,Sheet2!$C$3:$C$7)</f>
        <v>5</v>
      </c>
    </row>
    <row r="94" customFormat="false" ht="15" hidden="false" customHeight="false" outlineLevel="0" collapsed="false">
      <c r="B94" s="0" t="s">
        <v>200</v>
      </c>
      <c r="C94" s="0" t="s">
        <v>17</v>
      </c>
      <c r="D94" s="0" t="s">
        <v>14</v>
      </c>
      <c r="E94" s="23" t="n">
        <v>42</v>
      </c>
      <c r="F94" s="24" t="n">
        <v>44718</v>
      </c>
      <c r="G94" s="30" t="n">
        <v>75000</v>
      </c>
      <c r="H94" s="0" t="s">
        <v>45</v>
      </c>
      <c r="I94" s="0" t="s">
        <v>208</v>
      </c>
      <c r="J94" s="23" t="n">
        <f aca="false">TODAY()-staff[[#This Row],[Date Joined]]</f>
        <v>1251</v>
      </c>
      <c r="K94" s="23" t="n">
        <f aca="false">ROUNDUP(IF(staff[[#This Row],[Tenure]]&gt;2,3%,2%)*staff[[#This Row],[Salary]],0)</f>
        <v>2250</v>
      </c>
      <c r="L94" s="23" t="n">
        <f aca="false">_xlfn.xlookup(staff[[#This Row],[Rating]],Sheet2!$B$3:$B$7,Sheet2!$C$3:$C$7)</f>
        <v>5</v>
      </c>
    </row>
    <row r="95" customFormat="false" ht="15" hidden="false" customHeight="false" outlineLevel="0" collapsed="false">
      <c r="B95" s="0" t="s">
        <v>107</v>
      </c>
      <c r="C95" s="0" t="s">
        <v>17</v>
      </c>
      <c r="D95" s="0" t="s">
        <v>25</v>
      </c>
      <c r="E95" s="23" t="n">
        <v>33</v>
      </c>
      <c r="F95" s="24" t="n">
        <v>44312</v>
      </c>
      <c r="G95" s="30" t="n">
        <v>75280</v>
      </c>
      <c r="H95" s="0" t="s">
        <v>15</v>
      </c>
      <c r="I95" s="0" t="str">
        <f aca="false">"IND"</f>
        <v>IND</v>
      </c>
      <c r="J95" s="23" t="n">
        <f aca="false">TODAY()-staff[[#This Row],[Date Joined]]</f>
        <v>1657</v>
      </c>
      <c r="K95" s="23" t="n">
        <f aca="false">ROUNDUP(IF(staff[[#This Row],[Tenure]]&gt;2,3%,2%)*staff[[#This Row],[Salary]],0)</f>
        <v>2259</v>
      </c>
      <c r="L95" s="23" t="n">
        <f aca="false">_xlfn.xlookup(staff[[#This Row],[Rating]],Sheet2!$B$3:$B$7,Sheet2!$C$3:$C$7)</f>
        <v>3</v>
      </c>
    </row>
    <row r="96" customFormat="false" ht="15" hidden="false" customHeight="false" outlineLevel="0" collapsed="false">
      <c r="B96" s="32" t="s">
        <v>140</v>
      </c>
      <c r="C96" s="32" t="s">
        <v>17</v>
      </c>
      <c r="D96" s="32" t="s">
        <v>25</v>
      </c>
      <c r="E96" s="33" t="n">
        <v>33</v>
      </c>
      <c r="F96" s="34" t="n">
        <v>44253</v>
      </c>
      <c r="G96" s="35" t="n">
        <v>75280</v>
      </c>
      <c r="H96" s="32" t="s">
        <v>15</v>
      </c>
      <c r="I96" s="32" t="s">
        <v>208</v>
      </c>
      <c r="J96" s="23" t="n">
        <f aca="false">TODAY()-staff[[#This Row],[Date Joined]]</f>
        <v>1716</v>
      </c>
      <c r="K96" s="23" t="n">
        <f aca="false">ROUNDUP(IF(staff[[#This Row],[Tenure]]&gt;2,3%,2%)*staff[[#This Row],[Salary]],0)</f>
        <v>2259</v>
      </c>
      <c r="L96" s="23" t="n">
        <f aca="false">_xlfn.xlookup(staff[[#This Row],[Rating]],Sheet2!$B$3:$B$7,Sheet2!$C$3:$C$7)</f>
        <v>3</v>
      </c>
    </row>
    <row r="97" customFormat="false" ht="15" hidden="false" customHeight="false" outlineLevel="0" collapsed="false">
      <c r="B97" s="0" t="s">
        <v>50</v>
      </c>
      <c r="C97" s="0" t="s">
        <v>17</v>
      </c>
      <c r="D97" s="0" t="s">
        <v>25</v>
      </c>
      <c r="E97" s="23" t="n">
        <v>33</v>
      </c>
      <c r="F97" s="24" t="n">
        <v>44374</v>
      </c>
      <c r="G97" s="30" t="n">
        <v>75480</v>
      </c>
      <c r="H97" s="0" t="s">
        <v>51</v>
      </c>
      <c r="I97" s="0" t="str">
        <f aca="false">"IND"</f>
        <v>IND</v>
      </c>
      <c r="J97" s="23" t="n">
        <f aca="false">TODAY()-staff[[#This Row],[Date Joined]]</f>
        <v>1595</v>
      </c>
      <c r="K97" s="23" t="n">
        <f aca="false">ROUNDUP(IF(staff[[#This Row],[Tenure]]&gt;2,3%,2%)*staff[[#This Row],[Salary]],0)</f>
        <v>2265</v>
      </c>
      <c r="L97" s="23" t="n">
        <f aca="false">_xlfn.xlookup(staff[[#This Row],[Rating]],Sheet2!$B$3:$B$7,Sheet2!$C$3:$C$7)</f>
        <v>1</v>
      </c>
    </row>
    <row r="98" customFormat="false" ht="15" hidden="false" customHeight="false" outlineLevel="0" collapsed="false">
      <c r="B98" s="32" t="s">
        <v>148</v>
      </c>
      <c r="C98" s="32" t="s">
        <v>17</v>
      </c>
      <c r="D98" s="32" t="s">
        <v>25</v>
      </c>
      <c r="E98" s="33" t="n">
        <v>33</v>
      </c>
      <c r="F98" s="34" t="n">
        <v>44313</v>
      </c>
      <c r="G98" s="35" t="n">
        <v>75480</v>
      </c>
      <c r="H98" s="32" t="s">
        <v>51</v>
      </c>
      <c r="I98" s="32" t="s">
        <v>208</v>
      </c>
      <c r="J98" s="23" t="n">
        <f aca="false">TODAY()-staff[[#This Row],[Date Joined]]</f>
        <v>1656</v>
      </c>
      <c r="K98" s="23" t="n">
        <f aca="false">ROUNDUP(IF(staff[[#This Row],[Tenure]]&gt;2,3%,2%)*staff[[#This Row],[Salary]],0)</f>
        <v>2265</v>
      </c>
      <c r="L98" s="23" t="n">
        <f aca="false">_xlfn.xlookup(staff[[#This Row],[Rating]],Sheet2!$B$3:$B$7,Sheet2!$C$3:$C$7)</f>
        <v>1</v>
      </c>
    </row>
    <row r="99" customFormat="false" ht="15" hidden="false" customHeight="false" outlineLevel="0" collapsed="false">
      <c r="B99" s="0" t="s">
        <v>38</v>
      </c>
      <c r="C99" s="0" t="s">
        <v>10</v>
      </c>
      <c r="D99" s="0" t="s">
        <v>28</v>
      </c>
      <c r="E99" s="23" t="n">
        <v>21</v>
      </c>
      <c r="F99" s="24" t="n">
        <v>44242</v>
      </c>
      <c r="G99" s="30" t="n">
        <v>75880</v>
      </c>
      <c r="H99" s="0" t="s">
        <v>15</v>
      </c>
      <c r="I99" s="0" t="str">
        <f aca="false">"IND"</f>
        <v>IND</v>
      </c>
      <c r="J99" s="23" t="n">
        <f aca="false">TODAY()-staff[[#This Row],[Date Joined]]</f>
        <v>1727</v>
      </c>
      <c r="K99" s="23" t="n">
        <f aca="false">ROUNDUP(IF(staff[[#This Row],[Tenure]]&gt;2,3%,2%)*staff[[#This Row],[Salary]],0)</f>
        <v>2277</v>
      </c>
      <c r="L99" s="23" t="n">
        <f aca="false">_xlfn.xlookup(staff[[#This Row],[Rating]],Sheet2!$B$3:$B$7,Sheet2!$C$3:$C$7)</f>
        <v>3</v>
      </c>
    </row>
    <row r="100" customFormat="false" ht="15" hidden="false" customHeight="false" outlineLevel="0" collapsed="false">
      <c r="B100" s="32" t="s">
        <v>134</v>
      </c>
      <c r="C100" s="32" t="s">
        <v>10</v>
      </c>
      <c r="D100" s="32" t="s">
        <v>28</v>
      </c>
      <c r="E100" s="33" t="n">
        <v>21</v>
      </c>
      <c r="F100" s="34" t="n">
        <v>44180</v>
      </c>
      <c r="G100" s="35" t="n">
        <v>75880</v>
      </c>
      <c r="H100" s="32" t="s">
        <v>15</v>
      </c>
      <c r="I100" s="32" t="s">
        <v>208</v>
      </c>
      <c r="J100" s="23" t="n">
        <f aca="false">TODAY()-staff[[#This Row],[Date Joined]]</f>
        <v>1789</v>
      </c>
      <c r="K100" s="23" t="n">
        <f aca="false">ROUNDUP(IF(staff[[#This Row],[Tenure]]&gt;2,3%,2%)*staff[[#This Row],[Salary]],0)</f>
        <v>2277</v>
      </c>
      <c r="L100" s="23" t="n">
        <f aca="false">_xlfn.xlookup(staff[[#This Row],[Rating]],Sheet2!$B$3:$B$7,Sheet2!$C$3:$C$7)</f>
        <v>3</v>
      </c>
    </row>
    <row r="101" customFormat="false" ht="15" hidden="false" customHeight="false" outlineLevel="0" collapsed="false">
      <c r="B101" s="0" t="s">
        <v>48</v>
      </c>
      <c r="C101" s="0" t="s">
        <v>17</v>
      </c>
      <c r="D101" s="0" t="s">
        <v>19</v>
      </c>
      <c r="E101" s="23" t="n">
        <v>28</v>
      </c>
      <c r="F101" s="24" t="n">
        <v>44185</v>
      </c>
      <c r="G101" s="30" t="n">
        <v>75970</v>
      </c>
      <c r="H101" s="0" t="s">
        <v>15</v>
      </c>
      <c r="I101" s="0" t="str">
        <f aca="false">"IND"</f>
        <v>IND</v>
      </c>
      <c r="J101" s="23" t="n">
        <f aca="false">TODAY()-staff[[#This Row],[Date Joined]]</f>
        <v>1784</v>
      </c>
      <c r="K101" s="23" t="n">
        <f aca="false">ROUNDUP(IF(staff[[#This Row],[Tenure]]&gt;2,3%,2%)*staff[[#This Row],[Salary]],0)</f>
        <v>2280</v>
      </c>
      <c r="L101" s="23" t="n">
        <f aca="false">_xlfn.xlookup(staff[[#This Row],[Rating]],Sheet2!$B$3:$B$7,Sheet2!$C$3:$C$7)</f>
        <v>3</v>
      </c>
    </row>
    <row r="102" customFormat="false" ht="15" hidden="false" customHeight="false" outlineLevel="0" collapsed="false">
      <c r="B102" s="32" t="s">
        <v>129</v>
      </c>
      <c r="C102" s="32" t="s">
        <v>17</v>
      </c>
      <c r="D102" s="32" t="s">
        <v>19</v>
      </c>
      <c r="E102" s="33" t="n">
        <v>28</v>
      </c>
      <c r="F102" s="34" t="n">
        <v>44124</v>
      </c>
      <c r="G102" s="35" t="n">
        <v>75970</v>
      </c>
      <c r="H102" s="32" t="s">
        <v>15</v>
      </c>
      <c r="I102" s="32" t="s">
        <v>208</v>
      </c>
      <c r="J102" s="23" t="n">
        <f aca="false">TODAY()-staff[[#This Row],[Date Joined]]</f>
        <v>1845</v>
      </c>
      <c r="K102" s="23" t="n">
        <f aca="false">ROUNDUP(IF(staff[[#This Row],[Tenure]]&gt;2,3%,2%)*staff[[#This Row],[Salary]],0)</f>
        <v>2280</v>
      </c>
      <c r="L102" s="23" t="n">
        <f aca="false">_xlfn.xlookup(staff[[#This Row],[Rating]],Sheet2!$B$3:$B$7,Sheet2!$C$3:$C$7)</f>
        <v>3</v>
      </c>
    </row>
    <row r="103" customFormat="false" ht="15" hidden="false" customHeight="false" outlineLevel="0" collapsed="false">
      <c r="B103" s="40" t="s">
        <v>80</v>
      </c>
      <c r="C103" s="41" t="s">
        <v>17</v>
      </c>
      <c r="D103" s="41" t="s">
        <v>14</v>
      </c>
      <c r="E103" s="42" t="n">
        <v>22</v>
      </c>
      <c r="F103" s="43" t="n">
        <v>44450</v>
      </c>
      <c r="G103" s="44" t="n">
        <v>76900</v>
      </c>
      <c r="H103" s="41" t="s">
        <v>12</v>
      </c>
      <c r="I103" s="45" t="str">
        <f aca="false">"IND"</f>
        <v>IND</v>
      </c>
      <c r="J103" s="23" t="n">
        <f aca="false">TODAY()-staff[[#This Row],[Date Joined]]</f>
        <v>1519</v>
      </c>
      <c r="K103" s="23" t="n">
        <f aca="false">ROUNDUP(IF(staff[[#This Row],[Tenure]]&gt;2,3%,2%)*staff[[#This Row],[Salary]],0)</f>
        <v>2307</v>
      </c>
      <c r="L103" s="23" t="n">
        <f aca="false">_xlfn.xlookup(staff[[#This Row],[Rating]],Sheet2!$B$3:$B$7,Sheet2!$C$3:$C$7)</f>
        <v>4</v>
      </c>
    </row>
    <row r="104" customFormat="false" ht="15" hidden="false" customHeight="false" outlineLevel="0" collapsed="false">
      <c r="B104" s="40" t="s">
        <v>160</v>
      </c>
      <c r="C104" s="41" t="s">
        <v>17</v>
      </c>
      <c r="D104" s="41" t="s">
        <v>14</v>
      </c>
      <c r="E104" s="42" t="n">
        <v>22</v>
      </c>
      <c r="F104" s="43" t="n">
        <v>44388</v>
      </c>
      <c r="G104" s="44" t="n">
        <v>76900</v>
      </c>
      <c r="H104" s="41" t="s">
        <v>12</v>
      </c>
      <c r="I104" s="45" t="s">
        <v>208</v>
      </c>
      <c r="J104" s="23" t="n">
        <f aca="false">TODAY()-staff[[#This Row],[Date Joined]]</f>
        <v>1581</v>
      </c>
      <c r="K104" s="23" t="n">
        <f aca="false">ROUNDUP(IF(staff[[#This Row],[Tenure]]&gt;2,3%,2%)*staff[[#This Row],[Salary]],0)</f>
        <v>2307</v>
      </c>
      <c r="L104" s="23" t="n">
        <f aca="false">_xlfn.xlookup(staff[[#This Row],[Rating]],Sheet2!$B$3:$B$7,Sheet2!$C$3:$C$7)</f>
        <v>4</v>
      </c>
    </row>
    <row r="105" customFormat="false" ht="15" hidden="false" customHeight="false" outlineLevel="0" collapsed="false">
      <c r="B105" s="40" t="s">
        <v>61</v>
      </c>
      <c r="C105" s="41" t="s">
        <v>17</v>
      </c>
      <c r="D105" s="41" t="s">
        <v>14</v>
      </c>
      <c r="E105" s="42" t="n">
        <v>36</v>
      </c>
      <c r="F105" s="43" t="n">
        <v>44529</v>
      </c>
      <c r="G105" s="44" t="n">
        <v>78390</v>
      </c>
      <c r="H105" s="41" t="s">
        <v>15</v>
      </c>
      <c r="I105" s="45" t="str">
        <f aca="false">"IND"</f>
        <v>IND</v>
      </c>
      <c r="J105" s="23" t="n">
        <f aca="false">TODAY()-staff[[#This Row],[Date Joined]]</f>
        <v>1440</v>
      </c>
      <c r="K105" s="23" t="n">
        <f aca="false">ROUNDUP(IF(staff[[#This Row],[Tenure]]&gt;2,3%,2%)*staff[[#This Row],[Salary]],0)</f>
        <v>2352</v>
      </c>
      <c r="L105" s="23" t="n">
        <f aca="false">_xlfn.xlookup(staff[[#This Row],[Rating]],Sheet2!$B$3:$B$7,Sheet2!$C$3:$C$7)</f>
        <v>3</v>
      </c>
    </row>
    <row r="106" customFormat="false" ht="15" hidden="false" customHeight="false" outlineLevel="0" collapsed="false">
      <c r="B106" s="46" t="s">
        <v>169</v>
      </c>
      <c r="C106" s="47" t="s">
        <v>17</v>
      </c>
      <c r="D106" s="47" t="s">
        <v>14</v>
      </c>
      <c r="E106" s="48" t="n">
        <v>36</v>
      </c>
      <c r="F106" s="49" t="n">
        <v>44468</v>
      </c>
      <c r="G106" s="50" t="n">
        <v>78390</v>
      </c>
      <c r="H106" s="47" t="s">
        <v>15</v>
      </c>
      <c r="I106" s="51" t="s">
        <v>208</v>
      </c>
      <c r="J106" s="23" t="n">
        <f aca="false">TODAY()-staff[[#This Row],[Date Joined]]</f>
        <v>1501</v>
      </c>
      <c r="K106" s="23" t="n">
        <f aca="false">ROUNDUP(IF(staff[[#This Row],[Tenure]]&gt;2,3%,2%)*staff[[#This Row],[Salary]],0)</f>
        <v>2352</v>
      </c>
      <c r="L106" s="23" t="n">
        <f aca="false">_xlfn.xlookup(staff[[#This Row],[Rating]],Sheet2!$B$3:$B$7,Sheet2!$C$3:$C$7)</f>
        <v>3</v>
      </c>
    </row>
    <row r="107" customFormat="false" ht="15" hidden="false" customHeight="false" outlineLevel="0" collapsed="false">
      <c r="B107" s="40" t="s">
        <v>53</v>
      </c>
      <c r="C107" s="0" t="s">
        <v>17</v>
      </c>
      <c r="D107" s="41" t="s">
        <v>11</v>
      </c>
      <c r="E107" s="42" t="n">
        <v>36</v>
      </c>
      <c r="F107" s="43" t="n">
        <v>44494</v>
      </c>
      <c r="G107" s="44" t="n">
        <v>78540</v>
      </c>
      <c r="H107" s="41" t="s">
        <v>15</v>
      </c>
      <c r="I107" s="45" t="str">
        <f aca="false">"IND"</f>
        <v>IND</v>
      </c>
      <c r="J107" s="23" t="n">
        <f aca="false">TODAY()-staff[[#This Row],[Date Joined]]</f>
        <v>1475</v>
      </c>
      <c r="K107" s="23" t="n">
        <f aca="false">ROUNDUP(IF(staff[[#This Row],[Tenure]]&gt;2,3%,2%)*staff[[#This Row],[Salary]],0)</f>
        <v>2357</v>
      </c>
      <c r="L107" s="23" t="n">
        <f aca="false">_xlfn.xlookup(staff[[#This Row],[Rating]],Sheet2!$B$3:$B$7,Sheet2!$C$3:$C$7)</f>
        <v>3</v>
      </c>
    </row>
    <row r="108" customFormat="false" ht="15" hidden="false" customHeight="false" outlineLevel="0" collapsed="false">
      <c r="B108" s="46" t="s">
        <v>166</v>
      </c>
      <c r="C108" s="47" t="s">
        <v>17</v>
      </c>
      <c r="D108" s="47" t="s">
        <v>11</v>
      </c>
      <c r="E108" s="48" t="n">
        <v>36</v>
      </c>
      <c r="F108" s="49" t="n">
        <v>44433</v>
      </c>
      <c r="G108" s="50" t="n">
        <v>78540</v>
      </c>
      <c r="H108" s="47" t="s">
        <v>15</v>
      </c>
      <c r="I108" s="51" t="s">
        <v>208</v>
      </c>
      <c r="J108" s="23" t="n">
        <f aca="false">TODAY()-staff[[#This Row],[Date Joined]]</f>
        <v>1536</v>
      </c>
      <c r="K108" s="23" t="n">
        <f aca="false">ROUNDUP(IF(staff[[#This Row],[Tenure]]&gt;2,3%,2%)*staff[[#This Row],[Salary]],0)</f>
        <v>2357</v>
      </c>
      <c r="L108" s="23" t="n">
        <f aca="false">_xlfn.xlookup(staff[[#This Row],[Rating]],Sheet2!$B$3:$B$7,Sheet2!$C$3:$C$7)</f>
        <v>3</v>
      </c>
    </row>
    <row r="109" customFormat="false" ht="15" hidden="false" customHeight="false" outlineLevel="0" collapsed="false">
      <c r="B109" s="40" t="s">
        <v>66</v>
      </c>
      <c r="C109" s="41" t="s">
        <v>10</v>
      </c>
      <c r="D109" s="41" t="s">
        <v>14</v>
      </c>
      <c r="E109" s="42" t="n">
        <v>20</v>
      </c>
      <c r="F109" s="43" t="n">
        <v>44744</v>
      </c>
      <c r="G109" s="44" t="n">
        <v>79570</v>
      </c>
      <c r="H109" s="41" t="s">
        <v>15</v>
      </c>
      <c r="I109" s="45" t="str">
        <f aca="false">"IND"</f>
        <v>IND</v>
      </c>
      <c r="J109" s="23" t="n">
        <f aca="false">TODAY()-staff[[#This Row],[Date Joined]]</f>
        <v>1225</v>
      </c>
      <c r="K109" s="23" t="n">
        <f aca="false">ROUNDUP(IF(staff[[#This Row],[Tenure]]&gt;2,3%,2%)*staff[[#This Row],[Salary]],0)</f>
        <v>2388</v>
      </c>
      <c r="L109" s="23" t="n">
        <f aca="false">_xlfn.xlookup(staff[[#This Row],[Rating]],Sheet2!$B$3:$B$7,Sheet2!$C$3:$C$7)</f>
        <v>3</v>
      </c>
    </row>
    <row r="110" customFormat="false" ht="15" hidden="false" customHeight="false" outlineLevel="0" collapsed="false">
      <c r="B110" s="46" t="s">
        <v>196</v>
      </c>
      <c r="C110" s="32" t="s">
        <v>10</v>
      </c>
      <c r="D110" s="47" t="s">
        <v>14</v>
      </c>
      <c r="E110" s="48" t="n">
        <v>20</v>
      </c>
      <c r="F110" s="49" t="n">
        <v>44683</v>
      </c>
      <c r="G110" s="50" t="n">
        <v>79570</v>
      </c>
      <c r="H110" s="47" t="s">
        <v>15</v>
      </c>
      <c r="I110" s="51" t="s">
        <v>208</v>
      </c>
      <c r="J110" s="23" t="n">
        <f aca="false">TODAY()-staff[[#This Row],[Date Joined]]</f>
        <v>1286</v>
      </c>
      <c r="K110" s="23" t="n">
        <f aca="false">ROUNDUP(IF(staff[[#This Row],[Tenure]]&gt;2,3%,2%)*staff[[#This Row],[Salary]],0)</f>
        <v>2388</v>
      </c>
      <c r="L110" s="23" t="n">
        <f aca="false">_xlfn.xlookup(staff[[#This Row],[Rating]],Sheet2!$B$3:$B$7,Sheet2!$C$3:$C$7)</f>
        <v>3</v>
      </c>
    </row>
    <row r="111" customFormat="false" ht="15" hidden="false" customHeight="false" outlineLevel="0" collapsed="false">
      <c r="B111" s="40" t="s">
        <v>68</v>
      </c>
      <c r="C111" s="41" t="s">
        <v>17</v>
      </c>
      <c r="D111" s="41" t="s">
        <v>25</v>
      </c>
      <c r="E111" s="42" t="n">
        <v>25</v>
      </c>
      <c r="F111" s="43" t="n">
        <v>44694</v>
      </c>
      <c r="G111" s="44" t="n">
        <v>80700</v>
      </c>
      <c r="H111" s="41" t="s">
        <v>12</v>
      </c>
      <c r="I111" s="45" t="str">
        <f aca="false">"IND"</f>
        <v>IND</v>
      </c>
      <c r="J111" s="23" t="n">
        <f aca="false">TODAY()-staff[[#This Row],[Date Joined]]</f>
        <v>1275</v>
      </c>
      <c r="K111" s="23" t="n">
        <f aca="false">ROUNDUP(IF(staff[[#This Row],[Tenure]]&gt;2,3%,2%)*staff[[#This Row],[Salary]],0)</f>
        <v>2421</v>
      </c>
      <c r="L111" s="23" t="n">
        <f aca="false">_xlfn.xlookup(staff[[#This Row],[Rating]],Sheet2!$B$3:$B$7,Sheet2!$C$3:$C$7)</f>
        <v>4</v>
      </c>
    </row>
    <row r="112" customFormat="false" ht="15" hidden="false" customHeight="false" outlineLevel="0" collapsed="false">
      <c r="B112" s="40" t="s">
        <v>186</v>
      </c>
      <c r="C112" s="41" t="s">
        <v>17</v>
      </c>
      <c r="D112" s="41" t="s">
        <v>25</v>
      </c>
      <c r="E112" s="42" t="n">
        <v>25</v>
      </c>
      <c r="F112" s="43" t="n">
        <v>44633</v>
      </c>
      <c r="G112" s="44" t="n">
        <v>80700</v>
      </c>
      <c r="H112" s="41" t="s">
        <v>12</v>
      </c>
      <c r="I112" s="45" t="s">
        <v>208</v>
      </c>
      <c r="J112" s="23" t="n">
        <f aca="false">TODAY()-staff[[#This Row],[Date Joined]]</f>
        <v>1336</v>
      </c>
      <c r="K112" s="23" t="n">
        <f aca="false">ROUNDUP(IF(staff[[#This Row],[Tenure]]&gt;2,3%,2%)*staff[[#This Row],[Salary]],0)</f>
        <v>2421</v>
      </c>
      <c r="L112" s="23" t="n">
        <f aca="false">_xlfn.xlookup(staff[[#This Row],[Rating]],Sheet2!$B$3:$B$7,Sheet2!$C$3:$C$7)</f>
        <v>4</v>
      </c>
    </row>
    <row r="113" customFormat="false" ht="15" hidden="false" customHeight="false" outlineLevel="0" collapsed="false">
      <c r="B113" s="40" t="s">
        <v>63</v>
      </c>
      <c r="C113" s="41" t="s">
        <v>17</v>
      </c>
      <c r="D113" s="41" t="s">
        <v>25</v>
      </c>
      <c r="E113" s="42" t="n">
        <v>27</v>
      </c>
      <c r="F113" s="43" t="n">
        <v>44686</v>
      </c>
      <c r="G113" s="44" t="n">
        <v>83750</v>
      </c>
      <c r="H113" s="41" t="s">
        <v>15</v>
      </c>
      <c r="I113" s="45" t="str">
        <f aca="false">"IND"</f>
        <v>IND</v>
      </c>
      <c r="J113" s="23" t="n">
        <f aca="false">TODAY()-staff[[#This Row],[Date Joined]]</f>
        <v>1283</v>
      </c>
      <c r="K113" s="23" t="n">
        <f aca="false">ROUNDUP(IF(staff[[#This Row],[Tenure]]&gt;2,3%,2%)*staff[[#This Row],[Salary]],0)</f>
        <v>2513</v>
      </c>
      <c r="L113" s="23" t="n">
        <f aca="false">_xlfn.xlookup(staff[[#This Row],[Rating]],Sheet2!$B$3:$B$7,Sheet2!$C$3:$C$7)</f>
        <v>3</v>
      </c>
    </row>
    <row r="114" customFormat="false" ht="15" hidden="false" customHeight="false" outlineLevel="0" collapsed="false">
      <c r="B114" s="46" t="s">
        <v>185</v>
      </c>
      <c r="C114" s="47" t="s">
        <v>17</v>
      </c>
      <c r="D114" s="47" t="s">
        <v>25</v>
      </c>
      <c r="E114" s="48" t="n">
        <v>27</v>
      </c>
      <c r="F114" s="49" t="n">
        <v>44625</v>
      </c>
      <c r="G114" s="50" t="n">
        <v>83750</v>
      </c>
      <c r="H114" s="47" t="s">
        <v>15</v>
      </c>
      <c r="I114" s="51" t="s">
        <v>208</v>
      </c>
      <c r="J114" s="23" t="n">
        <f aca="false">TODAY()-staff[[#This Row],[Date Joined]]</f>
        <v>1344</v>
      </c>
      <c r="K114" s="23" t="n">
        <f aca="false">ROUNDUP(IF(staff[[#This Row],[Tenure]]&gt;2,3%,2%)*staff[[#This Row],[Salary]],0)</f>
        <v>2513</v>
      </c>
      <c r="L114" s="23" t="n">
        <f aca="false">_xlfn.xlookup(staff[[#This Row],[Rating]],Sheet2!$B$3:$B$7,Sheet2!$C$3:$C$7)</f>
        <v>3</v>
      </c>
    </row>
    <row r="115" customFormat="false" ht="15" hidden="false" customHeight="false" outlineLevel="0" collapsed="false">
      <c r="B115" s="40" t="s">
        <v>102</v>
      </c>
      <c r="C115" s="41" t="s">
        <v>17</v>
      </c>
      <c r="D115" s="41" t="s">
        <v>19</v>
      </c>
      <c r="E115" s="42" t="n">
        <v>34</v>
      </c>
      <c r="F115" s="43" t="n">
        <v>44459</v>
      </c>
      <c r="G115" s="44" t="n">
        <v>85000</v>
      </c>
      <c r="H115" s="41" t="s">
        <v>15</v>
      </c>
      <c r="I115" s="45" t="str">
        <f aca="false">"IND"</f>
        <v>IND</v>
      </c>
      <c r="J115" s="23" t="n">
        <f aca="false">TODAY()-staff[[#This Row],[Date Joined]]</f>
        <v>1510</v>
      </c>
      <c r="K115" s="23" t="n">
        <f aca="false">ROUNDUP(IF(staff[[#This Row],[Tenure]]&gt;2,3%,2%)*staff[[#This Row],[Salary]],0)</f>
        <v>2550</v>
      </c>
      <c r="L115" s="23" t="n">
        <f aca="false">_xlfn.xlookup(staff[[#This Row],[Rating]],Sheet2!$B$3:$B$7,Sheet2!$C$3:$C$7)</f>
        <v>3</v>
      </c>
    </row>
    <row r="116" customFormat="false" ht="15" hidden="false" customHeight="false" outlineLevel="0" collapsed="false">
      <c r="B116" s="46" t="s">
        <v>162</v>
      </c>
      <c r="C116" s="47" t="s">
        <v>17</v>
      </c>
      <c r="D116" s="47" t="s">
        <v>19</v>
      </c>
      <c r="E116" s="48" t="n">
        <v>34</v>
      </c>
      <c r="F116" s="49" t="n">
        <v>44397</v>
      </c>
      <c r="G116" s="50" t="n">
        <v>85000</v>
      </c>
      <c r="H116" s="47" t="s">
        <v>15</v>
      </c>
      <c r="I116" s="51" t="s">
        <v>208</v>
      </c>
      <c r="J116" s="23" t="n">
        <f aca="false">TODAY()-staff[[#This Row],[Date Joined]]</f>
        <v>1572</v>
      </c>
      <c r="K116" s="23" t="n">
        <f aca="false">ROUNDUP(IF(staff[[#This Row],[Tenure]]&gt;2,3%,2%)*staff[[#This Row],[Salary]],0)</f>
        <v>2550</v>
      </c>
      <c r="L116" s="23" t="n">
        <f aca="false">_xlfn.xlookup(staff[[#This Row],[Rating]],Sheet2!$B$3:$B$7,Sheet2!$C$3:$C$7)</f>
        <v>3</v>
      </c>
    </row>
    <row r="117" customFormat="false" ht="15" hidden="false" customHeight="false" outlineLevel="0" collapsed="false">
      <c r="B117" s="40" t="s">
        <v>62</v>
      </c>
      <c r="C117" s="41" t="s">
        <v>17</v>
      </c>
      <c r="D117" s="41" t="s">
        <v>19</v>
      </c>
      <c r="E117" s="42" t="n">
        <v>33</v>
      </c>
      <c r="F117" s="43" t="n">
        <v>44809</v>
      </c>
      <c r="G117" s="44" t="n">
        <v>86570</v>
      </c>
      <c r="H117" s="41" t="s">
        <v>15</v>
      </c>
      <c r="I117" s="45" t="str">
        <f aca="false">"IND"</f>
        <v>IND</v>
      </c>
      <c r="J117" s="23" t="n">
        <f aca="false">TODAY()-staff[[#This Row],[Date Joined]]</f>
        <v>1160</v>
      </c>
      <c r="K117" s="23" t="n">
        <f aca="false">ROUNDUP(IF(staff[[#This Row],[Tenure]]&gt;2,3%,2%)*staff[[#This Row],[Salary]],0)</f>
        <v>2598</v>
      </c>
      <c r="L117" s="23" t="n">
        <f aca="false">_xlfn.xlookup(staff[[#This Row],[Rating]],Sheet2!$B$3:$B$7,Sheet2!$C$3:$C$7)</f>
        <v>3</v>
      </c>
    </row>
    <row r="118" customFormat="false" ht="15" hidden="false" customHeight="false" outlineLevel="0" collapsed="false">
      <c r="B118" s="46" t="s">
        <v>201</v>
      </c>
      <c r="C118" s="47" t="s">
        <v>17</v>
      </c>
      <c r="D118" s="47" t="s">
        <v>19</v>
      </c>
      <c r="E118" s="48" t="n">
        <v>33</v>
      </c>
      <c r="F118" s="49" t="n">
        <v>44747</v>
      </c>
      <c r="G118" s="50" t="n">
        <v>86570</v>
      </c>
      <c r="H118" s="47" t="s">
        <v>15</v>
      </c>
      <c r="I118" s="51" t="s">
        <v>208</v>
      </c>
      <c r="J118" s="23" t="n">
        <f aca="false">TODAY()-staff[[#This Row],[Date Joined]]</f>
        <v>1222</v>
      </c>
      <c r="K118" s="23" t="n">
        <f aca="false">ROUNDUP(IF(staff[[#This Row],[Tenure]]&gt;2,3%,2%)*staff[[#This Row],[Salary]],0)</f>
        <v>2598</v>
      </c>
      <c r="L118" s="23" t="n">
        <f aca="false">_xlfn.xlookup(staff[[#This Row],[Rating]],Sheet2!$B$3:$B$7,Sheet2!$C$3:$C$7)</f>
        <v>3</v>
      </c>
    </row>
    <row r="119" customFormat="false" ht="15" hidden="false" customHeight="false" outlineLevel="0" collapsed="false">
      <c r="B119" s="40" t="s">
        <v>46</v>
      </c>
      <c r="C119" s="41" t="s">
        <v>17</v>
      </c>
      <c r="D119" s="41" t="s">
        <v>25</v>
      </c>
      <c r="E119" s="42" t="n">
        <v>40</v>
      </c>
      <c r="F119" s="43" t="n">
        <v>44337</v>
      </c>
      <c r="G119" s="44" t="n">
        <v>87620</v>
      </c>
      <c r="H119" s="41" t="s">
        <v>15</v>
      </c>
      <c r="I119" s="45" t="str">
        <f aca="false">"IND"</f>
        <v>IND</v>
      </c>
      <c r="J119" s="23" t="n">
        <f aca="false">TODAY()-staff[[#This Row],[Date Joined]]</f>
        <v>1632</v>
      </c>
      <c r="K119" s="23" t="n">
        <f aca="false">ROUNDUP(IF(staff[[#This Row],[Tenure]]&gt;2,3%,2%)*staff[[#This Row],[Salary]],0)</f>
        <v>2629</v>
      </c>
      <c r="L119" s="23" t="n">
        <f aca="false">_xlfn.xlookup(staff[[#This Row],[Rating]],Sheet2!$B$3:$B$7,Sheet2!$C$3:$C$7)</f>
        <v>3</v>
      </c>
    </row>
    <row r="120" customFormat="false" ht="15" hidden="false" customHeight="false" outlineLevel="0" collapsed="false">
      <c r="B120" s="40" t="s">
        <v>144</v>
      </c>
      <c r="C120" s="41" t="s">
        <v>17</v>
      </c>
      <c r="D120" s="41" t="s">
        <v>25</v>
      </c>
      <c r="E120" s="42" t="n">
        <v>40</v>
      </c>
      <c r="F120" s="43" t="n">
        <v>44276</v>
      </c>
      <c r="G120" s="44" t="n">
        <v>87620</v>
      </c>
      <c r="H120" s="41" t="s">
        <v>15</v>
      </c>
      <c r="I120" s="45" t="s">
        <v>208</v>
      </c>
      <c r="J120" s="23" t="n">
        <f aca="false">TODAY()-staff[[#This Row],[Date Joined]]</f>
        <v>1693</v>
      </c>
      <c r="K120" s="23" t="n">
        <f aca="false">ROUNDUP(IF(staff[[#This Row],[Tenure]]&gt;2,3%,2%)*staff[[#This Row],[Salary]],0)</f>
        <v>2629</v>
      </c>
      <c r="L120" s="23" t="n">
        <f aca="false">_xlfn.xlookup(staff[[#This Row],[Rating]],Sheet2!$B$3:$B$7,Sheet2!$C$3:$C$7)</f>
        <v>3</v>
      </c>
    </row>
    <row r="121" customFormat="false" ht="15" hidden="false" customHeight="false" outlineLevel="0" collapsed="false">
      <c r="B121" s="40" t="s">
        <v>92</v>
      </c>
      <c r="C121" s="41" t="s">
        <v>10</v>
      </c>
      <c r="D121" s="41" t="s">
        <v>25</v>
      </c>
      <c r="E121" s="42" t="n">
        <v>37</v>
      </c>
      <c r="F121" s="43" t="n">
        <v>44338</v>
      </c>
      <c r="G121" s="44" t="n">
        <v>88050</v>
      </c>
      <c r="H121" s="41" t="s">
        <v>20</v>
      </c>
      <c r="I121" s="45" t="str">
        <f aca="false">"IND"</f>
        <v>IND</v>
      </c>
      <c r="J121" s="23" t="n">
        <f aca="false">TODAY()-staff[[#This Row],[Date Joined]]</f>
        <v>1631</v>
      </c>
      <c r="K121" s="23" t="n">
        <f aca="false">ROUNDUP(IF(staff[[#This Row],[Tenure]]&gt;2,3%,2%)*staff[[#This Row],[Salary]],0)</f>
        <v>2642</v>
      </c>
      <c r="L121" s="23" t="n">
        <f aca="false">_xlfn.xlookup(staff[[#This Row],[Rating]],Sheet2!$B$3:$B$7,Sheet2!$C$3:$C$7)</f>
        <v>2</v>
      </c>
    </row>
    <row r="122" customFormat="false" ht="15" hidden="false" customHeight="false" outlineLevel="0" collapsed="false">
      <c r="B122" s="40" t="s">
        <v>145</v>
      </c>
      <c r="C122" s="41" t="s">
        <v>10</v>
      </c>
      <c r="D122" s="41" t="s">
        <v>25</v>
      </c>
      <c r="E122" s="42" t="n">
        <v>37</v>
      </c>
      <c r="F122" s="43" t="n">
        <v>44277</v>
      </c>
      <c r="G122" s="44" t="n">
        <v>88050</v>
      </c>
      <c r="H122" s="41" t="s">
        <v>20</v>
      </c>
      <c r="I122" s="45" t="s">
        <v>208</v>
      </c>
      <c r="J122" s="23" t="n">
        <f aca="false">TODAY()-staff[[#This Row],[Date Joined]]</f>
        <v>1692</v>
      </c>
      <c r="K122" s="23" t="n">
        <f aca="false">ROUNDUP(IF(staff[[#This Row],[Tenure]]&gt;2,3%,2%)*staff[[#This Row],[Salary]],0)</f>
        <v>2642</v>
      </c>
      <c r="L122" s="23" t="n">
        <f aca="false">_xlfn.xlookup(staff[[#This Row],[Rating]],Sheet2!$B$3:$B$7,Sheet2!$C$3:$C$7)</f>
        <v>2</v>
      </c>
    </row>
    <row r="123" customFormat="false" ht="15" hidden="false" customHeight="false" outlineLevel="0" collapsed="false">
      <c r="B123" s="40" t="s">
        <v>85</v>
      </c>
      <c r="C123" s="41" t="s">
        <v>224</v>
      </c>
      <c r="D123" s="41" t="s">
        <v>25</v>
      </c>
      <c r="E123" s="42" t="n">
        <v>26</v>
      </c>
      <c r="F123" s="43" t="n">
        <v>44271</v>
      </c>
      <c r="G123" s="44" t="n">
        <v>90700</v>
      </c>
      <c r="H123" s="41" t="s">
        <v>12</v>
      </c>
      <c r="I123" s="45" t="str">
        <f aca="false">"IND"</f>
        <v>IND</v>
      </c>
      <c r="J123" s="23" t="n">
        <f aca="false">TODAY()-staff[[#This Row],[Date Joined]]</f>
        <v>1698</v>
      </c>
      <c r="K123" s="23" t="n">
        <f aca="false">ROUNDUP(IF(staff[[#This Row],[Tenure]]&gt;2,3%,2%)*staff[[#This Row],[Salary]],0)</f>
        <v>2721</v>
      </c>
      <c r="L123" s="23" t="n">
        <f aca="false">_xlfn.xlookup(staff[[#This Row],[Rating]],Sheet2!$B$3:$B$7,Sheet2!$C$3:$C$7)</f>
        <v>4</v>
      </c>
    </row>
    <row r="124" customFormat="false" ht="15" hidden="false" customHeight="false" outlineLevel="0" collapsed="false">
      <c r="B124" s="40" t="s">
        <v>137</v>
      </c>
      <c r="C124" s="41" t="s">
        <v>224</v>
      </c>
      <c r="D124" s="41" t="s">
        <v>25</v>
      </c>
      <c r="E124" s="42" t="n">
        <v>27</v>
      </c>
      <c r="F124" s="43" t="n">
        <v>44212</v>
      </c>
      <c r="G124" s="44" t="n">
        <v>90700</v>
      </c>
      <c r="H124" s="41" t="s">
        <v>12</v>
      </c>
      <c r="I124" s="45" t="s">
        <v>208</v>
      </c>
      <c r="J124" s="23" t="n">
        <f aca="false">TODAY()-staff[[#This Row],[Date Joined]]</f>
        <v>1757</v>
      </c>
      <c r="K124" s="23" t="n">
        <f aca="false">ROUNDUP(IF(staff[[#This Row],[Tenure]]&gt;2,3%,2%)*staff[[#This Row],[Salary]],0)</f>
        <v>2721</v>
      </c>
      <c r="L124" s="23" t="n">
        <f aca="false">_xlfn.xlookup(staff[[#This Row],[Rating]],Sheet2!$B$3:$B$7,Sheet2!$C$3:$C$7)</f>
        <v>4</v>
      </c>
    </row>
    <row r="125" customFormat="false" ht="15" hidden="false" customHeight="false" outlineLevel="0" collapsed="false">
      <c r="B125" s="40" t="s">
        <v>82</v>
      </c>
      <c r="C125" s="41" t="s">
        <v>224</v>
      </c>
      <c r="D125" s="41" t="s">
        <v>25</v>
      </c>
      <c r="E125" s="42" t="n">
        <v>32</v>
      </c>
      <c r="F125" s="43" t="n">
        <v>44774</v>
      </c>
      <c r="G125" s="44" t="n">
        <v>91310</v>
      </c>
      <c r="H125" s="41" t="s">
        <v>15</v>
      </c>
      <c r="I125" s="45" t="str">
        <f aca="false">"IND"</f>
        <v>IND</v>
      </c>
      <c r="J125" s="23" t="n">
        <f aca="false">TODAY()-staff[[#This Row],[Date Joined]]</f>
        <v>1195</v>
      </c>
      <c r="K125" s="23" t="n">
        <f aca="false">ROUNDUP(IF(staff[[#This Row],[Tenure]]&gt;2,3%,2%)*staff[[#This Row],[Salary]],0)</f>
        <v>2740</v>
      </c>
      <c r="L125" s="23" t="n">
        <f aca="false">_xlfn.xlookup(staff[[#This Row],[Rating]],Sheet2!$B$3:$B$7,Sheet2!$C$3:$C$7)</f>
        <v>3</v>
      </c>
    </row>
    <row r="126" customFormat="false" ht="15" hidden="false" customHeight="false" outlineLevel="0" collapsed="false">
      <c r="B126" s="40" t="s">
        <v>199</v>
      </c>
      <c r="C126" s="41" t="s">
        <v>224</v>
      </c>
      <c r="D126" s="41" t="s">
        <v>25</v>
      </c>
      <c r="E126" s="42" t="n">
        <v>32</v>
      </c>
      <c r="F126" s="43" t="n">
        <v>44713</v>
      </c>
      <c r="G126" s="44" t="n">
        <v>91310</v>
      </c>
      <c r="H126" s="41" t="s">
        <v>15</v>
      </c>
      <c r="I126" s="45" t="s">
        <v>208</v>
      </c>
      <c r="J126" s="23" t="n">
        <f aca="false">TODAY()-staff[[#This Row],[Date Joined]]</f>
        <v>1256</v>
      </c>
      <c r="K126" s="23" t="n">
        <f aca="false">ROUNDUP(IF(staff[[#This Row],[Tenure]]&gt;2,3%,2%)*staff[[#This Row],[Salary]],0)</f>
        <v>2740</v>
      </c>
      <c r="L126" s="23" t="n">
        <f aca="false">_xlfn.xlookup(staff[[#This Row],[Rating]],Sheet2!$B$3:$B$7,Sheet2!$C$3:$C$7)</f>
        <v>3</v>
      </c>
    </row>
    <row r="127" customFormat="false" ht="15" hidden="false" customHeight="false" outlineLevel="0" collapsed="false">
      <c r="B127" s="40" t="s">
        <v>98</v>
      </c>
      <c r="C127" s="41" t="s">
        <v>10</v>
      </c>
      <c r="D127" s="41" t="s">
        <v>19</v>
      </c>
      <c r="E127" s="42" t="n">
        <v>27</v>
      </c>
      <c r="F127" s="43" t="n">
        <v>44236</v>
      </c>
      <c r="G127" s="44" t="n">
        <v>91650</v>
      </c>
      <c r="H127" s="41" t="s">
        <v>12</v>
      </c>
      <c r="I127" s="45" t="str">
        <f aca="false">"IND"</f>
        <v>IND</v>
      </c>
      <c r="J127" s="23" t="n">
        <f aca="false">TODAY()-staff[[#This Row],[Date Joined]]</f>
        <v>1733</v>
      </c>
      <c r="K127" s="23" t="n">
        <f aca="false">ROUNDUP(IF(staff[[#This Row],[Tenure]]&gt;2,3%,2%)*staff[[#This Row],[Salary]],0)</f>
        <v>2750</v>
      </c>
      <c r="L127" s="23" t="n">
        <f aca="false">_xlfn.xlookup(staff[[#This Row],[Rating]],Sheet2!$B$3:$B$7,Sheet2!$C$3:$C$7)</f>
        <v>4</v>
      </c>
    </row>
    <row r="128" customFormat="false" ht="15" hidden="false" customHeight="false" outlineLevel="0" collapsed="false">
      <c r="B128" s="46" t="s">
        <v>133</v>
      </c>
      <c r="C128" s="47" t="s">
        <v>10</v>
      </c>
      <c r="D128" s="47" t="s">
        <v>19</v>
      </c>
      <c r="E128" s="48" t="n">
        <v>27</v>
      </c>
      <c r="F128" s="49" t="n">
        <v>44174</v>
      </c>
      <c r="G128" s="50" t="n">
        <v>91650</v>
      </c>
      <c r="H128" s="47" t="s">
        <v>12</v>
      </c>
      <c r="I128" s="51" t="s">
        <v>208</v>
      </c>
      <c r="J128" s="23" t="n">
        <f aca="false">TODAY()-staff[[#This Row],[Date Joined]]</f>
        <v>1795</v>
      </c>
      <c r="K128" s="23" t="n">
        <f aca="false">ROUNDUP(IF(staff[[#This Row],[Tenure]]&gt;2,3%,2%)*staff[[#This Row],[Salary]],0)</f>
        <v>2750</v>
      </c>
      <c r="L128" s="23" t="n">
        <f aca="false">_xlfn.xlookup(staff[[#This Row],[Rating]],Sheet2!$B$3:$B$7,Sheet2!$C$3:$C$7)</f>
        <v>4</v>
      </c>
    </row>
    <row r="129" customFormat="false" ht="15" hidden="false" customHeight="false" outlineLevel="0" collapsed="false">
      <c r="B129" s="40" t="s">
        <v>64</v>
      </c>
      <c r="C129" s="41" t="s">
        <v>17</v>
      </c>
      <c r="D129" s="41" t="s">
        <v>19</v>
      </c>
      <c r="E129" s="42" t="n">
        <v>34</v>
      </c>
      <c r="F129" s="43" t="n">
        <v>44445</v>
      </c>
      <c r="G129" s="44" t="n">
        <v>92450</v>
      </c>
      <c r="H129" s="41" t="s">
        <v>15</v>
      </c>
      <c r="I129" s="45" t="str">
        <f aca="false">"IND"</f>
        <v>IND</v>
      </c>
      <c r="J129" s="23" t="n">
        <f aca="false">TODAY()-staff[[#This Row],[Date Joined]]</f>
        <v>1524</v>
      </c>
      <c r="K129" s="23" t="n">
        <f aca="false">ROUNDUP(IF(staff[[#This Row],[Tenure]]&gt;2,3%,2%)*staff[[#This Row],[Salary]],0)</f>
        <v>2774</v>
      </c>
      <c r="L129" s="23" t="n">
        <f aca="false">_xlfn.xlookup(staff[[#This Row],[Rating]],Sheet2!$B$3:$B$7,Sheet2!$C$3:$C$7)</f>
        <v>3</v>
      </c>
    </row>
    <row r="130" customFormat="false" ht="15" hidden="false" customHeight="false" outlineLevel="0" collapsed="false">
      <c r="B130" s="46" t="s">
        <v>158</v>
      </c>
      <c r="C130" s="47" t="s">
        <v>17</v>
      </c>
      <c r="D130" s="47" t="s">
        <v>19</v>
      </c>
      <c r="E130" s="48" t="n">
        <v>34</v>
      </c>
      <c r="F130" s="49" t="n">
        <v>44383</v>
      </c>
      <c r="G130" s="50" t="n">
        <v>92450</v>
      </c>
      <c r="H130" s="47" t="s">
        <v>15</v>
      </c>
      <c r="I130" s="51" t="s">
        <v>208</v>
      </c>
      <c r="J130" s="23" t="n">
        <f aca="false">TODAY()-staff[[#This Row],[Date Joined]]</f>
        <v>1586</v>
      </c>
      <c r="K130" s="23" t="n">
        <f aca="false">ROUNDUP(IF(staff[[#This Row],[Tenure]]&gt;2,3%,2%)*staff[[#This Row],[Salary]],0)</f>
        <v>2774</v>
      </c>
      <c r="L130" s="23" t="n">
        <f aca="false">_xlfn.xlookup(staff[[#This Row],[Rating]],Sheet2!$B$3:$B$7,Sheet2!$C$3:$C$7)</f>
        <v>3</v>
      </c>
    </row>
    <row r="131" customFormat="false" ht="15" hidden="false" customHeight="false" outlineLevel="0" collapsed="false">
      <c r="B131" s="40" t="s">
        <v>87</v>
      </c>
      <c r="C131" s="41" t="s">
        <v>17</v>
      </c>
      <c r="D131" s="41" t="s">
        <v>11</v>
      </c>
      <c r="E131" s="42" t="n">
        <v>25</v>
      </c>
      <c r="F131" s="43" t="n">
        <v>44205</v>
      </c>
      <c r="G131" s="44" t="n">
        <v>92700</v>
      </c>
      <c r="H131" s="41" t="s">
        <v>15</v>
      </c>
      <c r="I131" s="45" t="str">
        <f aca="false">"IND"</f>
        <v>IND</v>
      </c>
      <c r="J131" s="23" t="n">
        <f aca="false">TODAY()-staff[[#This Row],[Date Joined]]</f>
        <v>1764</v>
      </c>
      <c r="K131" s="23" t="n">
        <f aca="false">ROUNDUP(IF(staff[[#This Row],[Tenure]]&gt;2,3%,2%)*staff[[#This Row],[Salary]],0)</f>
        <v>2781</v>
      </c>
      <c r="L131" s="23" t="n">
        <f aca="false">_xlfn.xlookup(staff[[#This Row],[Rating]],Sheet2!$B$3:$B$7,Sheet2!$C$3:$C$7)</f>
        <v>3</v>
      </c>
    </row>
    <row r="132" customFormat="false" ht="15" hidden="false" customHeight="false" outlineLevel="0" collapsed="false">
      <c r="B132" s="46" t="s">
        <v>131</v>
      </c>
      <c r="C132" s="47" t="s">
        <v>17</v>
      </c>
      <c r="D132" s="47" t="s">
        <v>11</v>
      </c>
      <c r="E132" s="48" t="n">
        <v>25</v>
      </c>
      <c r="F132" s="49" t="n">
        <v>44144</v>
      </c>
      <c r="G132" s="50" t="n">
        <v>92700</v>
      </c>
      <c r="H132" s="47" t="s">
        <v>15</v>
      </c>
      <c r="I132" s="51" t="s">
        <v>208</v>
      </c>
      <c r="J132" s="23" t="n">
        <f aca="false">TODAY()-staff[[#This Row],[Date Joined]]</f>
        <v>1825</v>
      </c>
      <c r="K132" s="23" t="n">
        <f aca="false">ROUNDUP(IF(staff[[#This Row],[Tenure]]&gt;2,3%,2%)*staff[[#This Row],[Salary]],0)</f>
        <v>2781</v>
      </c>
      <c r="L132" s="23" t="n">
        <f aca="false">_xlfn.xlookup(staff[[#This Row],[Rating]],Sheet2!$B$3:$B$7,Sheet2!$C$3:$C$7)</f>
        <v>3</v>
      </c>
    </row>
    <row r="133" customFormat="false" ht="15" hidden="false" customHeight="false" outlineLevel="0" collapsed="false">
      <c r="B133" s="40" t="s">
        <v>57</v>
      </c>
      <c r="C133" s="41" t="s">
        <v>17</v>
      </c>
      <c r="D133" s="41" t="s">
        <v>25</v>
      </c>
      <c r="E133" s="42" t="n">
        <v>33</v>
      </c>
      <c r="F133" s="43" t="n">
        <v>44190</v>
      </c>
      <c r="G133" s="44" t="n">
        <v>96140</v>
      </c>
      <c r="H133" s="41" t="s">
        <v>15</v>
      </c>
      <c r="I133" s="45" t="str">
        <f aca="false">"IND"</f>
        <v>IND</v>
      </c>
      <c r="J133" s="23" t="n">
        <f aca="false">TODAY()-staff[[#This Row],[Date Joined]]</f>
        <v>1779</v>
      </c>
      <c r="K133" s="23" t="n">
        <f aca="false">ROUNDUP(IF(staff[[#This Row],[Tenure]]&gt;2,3%,2%)*staff[[#This Row],[Salary]],0)</f>
        <v>2885</v>
      </c>
      <c r="L133" s="23" t="n">
        <f aca="false">_xlfn.xlookup(staff[[#This Row],[Rating]],Sheet2!$B$3:$B$7,Sheet2!$C$3:$C$7)</f>
        <v>3</v>
      </c>
    </row>
    <row r="134" customFormat="false" ht="15" hidden="false" customHeight="false" outlineLevel="0" collapsed="false">
      <c r="B134" s="40" t="s">
        <v>130</v>
      </c>
      <c r="C134" s="41" t="s">
        <v>17</v>
      </c>
      <c r="D134" s="41" t="s">
        <v>25</v>
      </c>
      <c r="E134" s="42" t="n">
        <v>33</v>
      </c>
      <c r="F134" s="43" t="n">
        <v>44129</v>
      </c>
      <c r="G134" s="44" t="n">
        <v>96140</v>
      </c>
      <c r="H134" s="41" t="s">
        <v>15</v>
      </c>
      <c r="I134" s="45" t="s">
        <v>208</v>
      </c>
      <c r="J134" s="23" t="n">
        <f aca="false">TODAY()-staff[[#This Row],[Date Joined]]</f>
        <v>1840</v>
      </c>
      <c r="K134" s="23" t="n">
        <f aca="false">ROUNDUP(IF(staff[[#This Row],[Tenure]]&gt;2,3%,2%)*staff[[#This Row],[Salary]],0)</f>
        <v>2885</v>
      </c>
      <c r="L134" s="23" t="n">
        <f aca="false">_xlfn.xlookup(staff[[#This Row],[Rating]],Sheet2!$B$3:$B$7,Sheet2!$C$3:$C$7)</f>
        <v>3</v>
      </c>
    </row>
    <row r="135" customFormat="false" ht="15" hidden="false" customHeight="false" outlineLevel="0" collapsed="false">
      <c r="B135" s="40" t="s">
        <v>101</v>
      </c>
      <c r="C135" s="41" t="s">
        <v>10</v>
      </c>
      <c r="D135" s="41" t="s">
        <v>19</v>
      </c>
      <c r="E135" s="42" t="n">
        <v>30</v>
      </c>
      <c r="F135" s="43" t="n">
        <v>44606</v>
      </c>
      <c r="G135" s="44" t="n">
        <v>96800</v>
      </c>
      <c r="H135" s="41" t="s">
        <v>15</v>
      </c>
      <c r="I135" s="45" t="str">
        <f aca="false">"IND"</f>
        <v>IND</v>
      </c>
      <c r="J135" s="23" t="n">
        <f aca="false">TODAY()-staff[[#This Row],[Date Joined]]</f>
        <v>1363</v>
      </c>
      <c r="K135" s="23" t="n">
        <f aca="false">ROUNDUP(IF(staff[[#This Row],[Tenure]]&gt;2,3%,2%)*staff[[#This Row],[Salary]],0)</f>
        <v>2904</v>
      </c>
      <c r="L135" s="23" t="n">
        <f aca="false">_xlfn.xlookup(staff[[#This Row],[Rating]],Sheet2!$B$3:$B$7,Sheet2!$C$3:$C$7)</f>
        <v>3</v>
      </c>
    </row>
    <row r="136" customFormat="false" ht="15" hidden="false" customHeight="false" outlineLevel="0" collapsed="false">
      <c r="B136" s="40" t="s">
        <v>173</v>
      </c>
      <c r="C136" s="41" t="s">
        <v>10</v>
      </c>
      <c r="D136" s="41" t="s">
        <v>19</v>
      </c>
      <c r="E136" s="42" t="n">
        <v>30</v>
      </c>
      <c r="F136" s="43" t="n">
        <v>44544</v>
      </c>
      <c r="G136" s="44" t="n">
        <v>96800</v>
      </c>
      <c r="H136" s="41" t="s">
        <v>15</v>
      </c>
      <c r="I136" s="45" t="s">
        <v>208</v>
      </c>
      <c r="J136" s="23" t="n">
        <f aca="false">TODAY()-staff[[#This Row],[Date Joined]]</f>
        <v>1425</v>
      </c>
      <c r="K136" s="23" t="n">
        <f aca="false">ROUNDUP(IF(staff[[#This Row],[Tenure]]&gt;2,3%,2%)*staff[[#This Row],[Salary]],0)</f>
        <v>2904</v>
      </c>
      <c r="L136" s="23" t="n">
        <f aca="false">_xlfn.xlookup(staff[[#This Row],[Rating]],Sheet2!$B$3:$B$7,Sheet2!$C$3:$C$7)</f>
        <v>3</v>
      </c>
    </row>
    <row r="137" customFormat="false" ht="15" hidden="false" customHeight="false" outlineLevel="0" collapsed="false">
      <c r="B137" s="40" t="s">
        <v>34</v>
      </c>
      <c r="C137" s="41" t="s">
        <v>10</v>
      </c>
      <c r="D137" s="41" t="s">
        <v>14</v>
      </c>
      <c r="E137" s="42" t="n">
        <v>40</v>
      </c>
      <c r="F137" s="43" t="n">
        <v>44263</v>
      </c>
      <c r="G137" s="44" t="n">
        <v>99750</v>
      </c>
      <c r="H137" s="41" t="s">
        <v>15</v>
      </c>
      <c r="I137" s="45" t="str">
        <f aca="false">"IND"</f>
        <v>IND</v>
      </c>
      <c r="J137" s="23" t="n">
        <f aca="false">TODAY()-staff[[#This Row],[Date Joined]]</f>
        <v>1706</v>
      </c>
      <c r="K137" s="23" t="n">
        <f aca="false">ROUNDUP(IF(staff[[#This Row],[Tenure]]&gt;2,3%,2%)*staff[[#This Row],[Salary]],0)</f>
        <v>2993</v>
      </c>
      <c r="L137" s="23" t="n">
        <f aca="false">_xlfn.xlookup(staff[[#This Row],[Rating]],Sheet2!$B$3:$B$7,Sheet2!$C$3:$C$7)</f>
        <v>3</v>
      </c>
    </row>
    <row r="138" customFormat="false" ht="15" hidden="false" customHeight="false" outlineLevel="0" collapsed="false">
      <c r="B138" s="46" t="s">
        <v>136</v>
      </c>
      <c r="C138" s="47" t="s">
        <v>10</v>
      </c>
      <c r="D138" s="47" t="s">
        <v>14</v>
      </c>
      <c r="E138" s="48" t="n">
        <v>40</v>
      </c>
      <c r="F138" s="49" t="n">
        <v>44204</v>
      </c>
      <c r="G138" s="50" t="n">
        <v>99750</v>
      </c>
      <c r="H138" s="47" t="s">
        <v>15</v>
      </c>
      <c r="I138" s="51" t="s">
        <v>208</v>
      </c>
      <c r="J138" s="23" t="n">
        <f aca="false">TODAY()-staff[[#This Row],[Date Joined]]</f>
        <v>1765</v>
      </c>
      <c r="K138" s="23" t="n">
        <f aca="false">ROUNDUP(IF(staff[[#This Row],[Tenure]]&gt;2,3%,2%)*staff[[#This Row],[Salary]],0)</f>
        <v>2993</v>
      </c>
      <c r="L138" s="23" t="n">
        <f aca="false">_xlfn.xlookup(staff[[#This Row],[Rating]],Sheet2!$B$3:$B$7,Sheet2!$C$3:$C$7)</f>
        <v>3</v>
      </c>
    </row>
    <row r="139" customFormat="false" ht="15" hidden="false" customHeight="false" outlineLevel="0" collapsed="false">
      <c r="B139" s="40" t="s">
        <v>56</v>
      </c>
      <c r="C139" s="41" t="s">
        <v>17</v>
      </c>
      <c r="D139" s="41" t="s">
        <v>14</v>
      </c>
      <c r="E139" s="42" t="n">
        <v>28</v>
      </c>
      <c r="F139" s="43" t="n">
        <v>44630</v>
      </c>
      <c r="G139" s="44" t="n">
        <v>99970</v>
      </c>
      <c r="H139" s="41" t="s">
        <v>15</v>
      </c>
      <c r="I139" s="45" t="str">
        <f aca="false">"IND"</f>
        <v>IND</v>
      </c>
      <c r="J139" s="23" t="n">
        <f aca="false">TODAY()-staff[[#This Row],[Date Joined]]</f>
        <v>1339</v>
      </c>
      <c r="K139" s="23" t="n">
        <f aca="false">ROUNDUP(IF(staff[[#This Row],[Tenure]]&gt;2,3%,2%)*staff[[#This Row],[Salary]],0)</f>
        <v>3000</v>
      </c>
      <c r="L139" s="23" t="n">
        <f aca="false">_xlfn.xlookup(staff[[#This Row],[Rating]],Sheet2!$B$3:$B$7,Sheet2!$C$3:$C$7)</f>
        <v>3</v>
      </c>
    </row>
    <row r="140" customFormat="false" ht="15" hidden="false" customHeight="false" outlineLevel="0" collapsed="false">
      <c r="B140" s="46" t="s">
        <v>178</v>
      </c>
      <c r="C140" s="47" t="s">
        <v>17</v>
      </c>
      <c r="D140" s="47" t="s">
        <v>14</v>
      </c>
      <c r="E140" s="48" t="n">
        <v>28</v>
      </c>
      <c r="F140" s="49" t="n">
        <v>44571</v>
      </c>
      <c r="G140" s="50" t="n">
        <v>99970</v>
      </c>
      <c r="H140" s="47" t="s">
        <v>15</v>
      </c>
      <c r="I140" s="51" t="s">
        <v>208</v>
      </c>
      <c r="J140" s="23" t="n">
        <f aca="false">TODAY()-staff[[#This Row],[Date Joined]]</f>
        <v>1398</v>
      </c>
      <c r="K140" s="23" t="n">
        <f aca="false">ROUNDUP(IF(staff[[#This Row],[Tenure]]&gt;2,3%,2%)*staff[[#This Row],[Salary]],0)</f>
        <v>3000</v>
      </c>
      <c r="L140" s="23" t="n">
        <f aca="false">_xlfn.xlookup(staff[[#This Row],[Rating]],Sheet2!$B$3:$B$7,Sheet2!$C$3:$C$7)</f>
        <v>3</v>
      </c>
    </row>
    <row r="141" customFormat="false" ht="15" hidden="false" customHeight="false" outlineLevel="0" collapsed="false">
      <c r="B141" s="40" t="s">
        <v>93</v>
      </c>
      <c r="C141" s="41" t="s">
        <v>10</v>
      </c>
      <c r="D141" s="41" t="s">
        <v>25</v>
      </c>
      <c r="E141" s="42" t="n">
        <v>24</v>
      </c>
      <c r="F141" s="43" t="n">
        <v>44686</v>
      </c>
      <c r="G141" s="44" t="n">
        <v>100420</v>
      </c>
      <c r="H141" s="41" t="s">
        <v>15</v>
      </c>
      <c r="I141" s="45" t="str">
        <f aca="false">"IND"</f>
        <v>IND</v>
      </c>
      <c r="J141" s="23" t="n">
        <f aca="false">TODAY()-staff[[#This Row],[Date Joined]]</f>
        <v>1283</v>
      </c>
      <c r="K141" s="23" t="n">
        <f aca="false">ROUNDUP(IF(staff[[#This Row],[Tenure]]&gt;2,3%,2%)*staff[[#This Row],[Salary]],0)</f>
        <v>3013</v>
      </c>
      <c r="L141" s="23" t="n">
        <f aca="false">_xlfn.xlookup(staff[[#This Row],[Rating]],Sheet2!$B$3:$B$7,Sheet2!$C$3:$C$7)</f>
        <v>3</v>
      </c>
    </row>
    <row r="142" customFormat="false" ht="15" hidden="false" customHeight="false" outlineLevel="0" collapsed="false">
      <c r="B142" s="40" t="s">
        <v>184</v>
      </c>
      <c r="C142" s="41" t="s">
        <v>10</v>
      </c>
      <c r="D142" s="41" t="s">
        <v>25</v>
      </c>
      <c r="E142" s="42" t="n">
        <v>24</v>
      </c>
      <c r="F142" s="43" t="n">
        <v>44625</v>
      </c>
      <c r="G142" s="44" t="n">
        <v>100420</v>
      </c>
      <c r="H142" s="41" t="s">
        <v>15</v>
      </c>
      <c r="I142" s="45" t="s">
        <v>208</v>
      </c>
      <c r="J142" s="23" t="n">
        <f aca="false">TODAY()-staff[[#This Row],[Date Joined]]</f>
        <v>1344</v>
      </c>
      <c r="K142" s="23" t="n">
        <f aca="false">ROUNDUP(IF(staff[[#This Row],[Tenure]]&gt;2,3%,2%)*staff[[#This Row],[Salary]],0)</f>
        <v>3013</v>
      </c>
      <c r="L142" s="23" t="n">
        <f aca="false">_xlfn.xlookup(staff[[#This Row],[Rating]],Sheet2!$B$3:$B$7,Sheet2!$C$3:$C$7)</f>
        <v>3</v>
      </c>
    </row>
    <row r="143" customFormat="false" ht="15" hidden="false" customHeight="false" outlineLevel="0" collapsed="false">
      <c r="B143" s="40" t="s">
        <v>58</v>
      </c>
      <c r="C143" s="41" t="s">
        <v>10</v>
      </c>
      <c r="D143" s="41" t="s">
        <v>14</v>
      </c>
      <c r="E143" s="42" t="n">
        <v>31</v>
      </c>
      <c r="F143" s="43" t="n">
        <v>44724</v>
      </c>
      <c r="G143" s="44" t="n">
        <v>103550</v>
      </c>
      <c r="H143" s="41" t="s">
        <v>15</v>
      </c>
      <c r="I143" s="45" t="str">
        <f aca="false">"IND"</f>
        <v>IND</v>
      </c>
      <c r="J143" s="23" t="n">
        <f aca="false">TODAY()-staff[[#This Row],[Date Joined]]</f>
        <v>1245</v>
      </c>
      <c r="K143" s="23" t="n">
        <f aca="false">ROUNDUP(IF(staff[[#This Row],[Tenure]]&gt;2,3%,2%)*staff[[#This Row],[Salary]],0)</f>
        <v>3107</v>
      </c>
      <c r="L143" s="23" t="n">
        <f aca="false">_xlfn.xlookup(staff[[#This Row],[Rating]],Sheet2!$B$3:$B$7,Sheet2!$C$3:$C$7)</f>
        <v>3</v>
      </c>
    </row>
    <row r="144" customFormat="false" ht="15" hidden="false" customHeight="false" outlineLevel="0" collapsed="false">
      <c r="B144" s="46" t="s">
        <v>192</v>
      </c>
      <c r="C144" s="47" t="s">
        <v>10</v>
      </c>
      <c r="D144" s="47" t="s">
        <v>14</v>
      </c>
      <c r="E144" s="48" t="n">
        <v>31</v>
      </c>
      <c r="F144" s="49" t="n">
        <v>44663</v>
      </c>
      <c r="G144" s="52" t="n">
        <v>103550</v>
      </c>
      <c r="H144" s="47" t="s">
        <v>15</v>
      </c>
      <c r="I144" s="51" t="s">
        <v>208</v>
      </c>
      <c r="J144" s="23" t="n">
        <f aca="false">TODAY()-staff[[#This Row],[Date Joined]]</f>
        <v>1306</v>
      </c>
      <c r="K144" s="23" t="n">
        <f aca="false">ROUNDUP(IF(staff[[#This Row],[Tenure]]&gt;2,3%,2%)*staff[[#This Row],[Salary]],0)</f>
        <v>3107</v>
      </c>
      <c r="L144" s="23" t="n">
        <f aca="false">_xlfn.xlookup(staff[[#This Row],[Rating]],Sheet2!$B$3:$B$7,Sheet2!$C$3:$C$7)</f>
        <v>3</v>
      </c>
    </row>
    <row r="145" customFormat="false" ht="15" hidden="false" customHeight="false" outlineLevel="0" collapsed="false">
      <c r="B145" s="40" t="s">
        <v>91</v>
      </c>
      <c r="C145" s="41" t="s">
        <v>17</v>
      </c>
      <c r="D145" s="41" t="s">
        <v>14</v>
      </c>
      <c r="E145" s="42" t="n">
        <v>28</v>
      </c>
      <c r="F145" s="43" t="n">
        <v>44649</v>
      </c>
      <c r="G145" s="44" t="n">
        <v>104120</v>
      </c>
      <c r="H145" s="41" t="s">
        <v>15</v>
      </c>
      <c r="I145" s="45" t="str">
        <f aca="false">"IND"</f>
        <v>IND</v>
      </c>
      <c r="J145" s="23" t="n">
        <f aca="false">TODAY()-staff[[#This Row],[Date Joined]]</f>
        <v>1320</v>
      </c>
      <c r="K145" s="23" t="n">
        <f aca="false">ROUNDUP(IF(staff[[#This Row],[Tenure]]&gt;2,3%,2%)*staff[[#This Row],[Salary]],0)</f>
        <v>3124</v>
      </c>
      <c r="L145" s="23" t="n">
        <f aca="false">_xlfn.xlookup(staff[[#This Row],[Rating]],Sheet2!$B$3:$B$7,Sheet2!$C$3:$C$7)</f>
        <v>3</v>
      </c>
    </row>
    <row r="146" customFormat="false" ht="15" hidden="false" customHeight="false" outlineLevel="0" collapsed="false">
      <c r="B146" s="46" t="s">
        <v>179</v>
      </c>
      <c r="C146" s="47" t="s">
        <v>17</v>
      </c>
      <c r="D146" s="47" t="s">
        <v>14</v>
      </c>
      <c r="E146" s="48" t="n">
        <v>28</v>
      </c>
      <c r="F146" s="49" t="n">
        <v>44590</v>
      </c>
      <c r="G146" s="50" t="n">
        <v>104120</v>
      </c>
      <c r="H146" s="47" t="s">
        <v>15</v>
      </c>
      <c r="I146" s="51" t="s">
        <v>208</v>
      </c>
      <c r="J146" s="23" t="n">
        <f aca="false">TODAY()-staff[[#This Row],[Date Joined]]</f>
        <v>1379</v>
      </c>
      <c r="K146" s="23" t="n">
        <f aca="false">ROUNDUP(IF(staff[[#This Row],[Tenure]]&gt;2,3%,2%)*staff[[#This Row],[Salary]],0)</f>
        <v>3124</v>
      </c>
      <c r="L146" s="23" t="n">
        <f aca="false">_xlfn.xlookup(staff[[#This Row],[Rating]],Sheet2!$B$3:$B$7,Sheet2!$C$3:$C$7)</f>
        <v>3</v>
      </c>
    </row>
    <row r="147" customFormat="false" ht="15" hidden="false" customHeight="false" outlineLevel="0" collapsed="false">
      <c r="B147" s="40" t="s">
        <v>100</v>
      </c>
      <c r="C147" s="41" t="s">
        <v>17</v>
      </c>
      <c r="D147" s="41" t="s">
        <v>25</v>
      </c>
      <c r="E147" s="42" t="n">
        <v>40</v>
      </c>
      <c r="F147" s="43" t="n">
        <v>44381</v>
      </c>
      <c r="G147" s="44" t="n">
        <v>104410</v>
      </c>
      <c r="H147" s="41" t="s">
        <v>15</v>
      </c>
      <c r="I147" s="45" t="str">
        <f aca="false">"IND"</f>
        <v>IND</v>
      </c>
      <c r="J147" s="23" t="n">
        <f aca="false">TODAY()-staff[[#This Row],[Date Joined]]</f>
        <v>1588</v>
      </c>
      <c r="K147" s="23" t="n">
        <f aca="false">ROUNDUP(IF(staff[[#This Row],[Tenure]]&gt;2,3%,2%)*staff[[#This Row],[Salary]],0)</f>
        <v>3133</v>
      </c>
      <c r="L147" s="23" t="n">
        <f aca="false">_xlfn.xlookup(staff[[#This Row],[Rating]],Sheet2!$B$3:$B$7,Sheet2!$C$3:$C$7)</f>
        <v>3</v>
      </c>
    </row>
    <row r="148" customFormat="false" ht="15" hidden="false" customHeight="false" outlineLevel="0" collapsed="false">
      <c r="B148" s="46" t="s">
        <v>150</v>
      </c>
      <c r="C148" s="47" t="s">
        <v>17</v>
      </c>
      <c r="D148" s="47" t="s">
        <v>25</v>
      </c>
      <c r="E148" s="48" t="n">
        <v>40</v>
      </c>
      <c r="F148" s="49" t="n">
        <v>44320</v>
      </c>
      <c r="G148" s="50" t="n">
        <v>104410</v>
      </c>
      <c r="H148" s="47" t="s">
        <v>15</v>
      </c>
      <c r="I148" s="51" t="s">
        <v>208</v>
      </c>
      <c r="J148" s="23" t="n">
        <f aca="false">TODAY()-staff[[#This Row],[Date Joined]]</f>
        <v>1649</v>
      </c>
      <c r="K148" s="23" t="n">
        <f aca="false">ROUNDUP(IF(staff[[#This Row],[Tenure]]&gt;2,3%,2%)*staff[[#This Row],[Salary]],0)</f>
        <v>3133</v>
      </c>
      <c r="L148" s="23" t="n">
        <f aca="false">_xlfn.xlookup(staff[[#This Row],[Rating]],Sheet2!$B$3:$B$7,Sheet2!$C$3:$C$7)</f>
        <v>3</v>
      </c>
    </row>
    <row r="149" customFormat="false" ht="15" hidden="false" customHeight="false" outlineLevel="0" collapsed="false">
      <c r="B149" s="40" t="s">
        <v>83</v>
      </c>
      <c r="C149" s="41" t="s">
        <v>17</v>
      </c>
      <c r="D149" s="41" t="s">
        <v>14</v>
      </c>
      <c r="E149" s="42" t="n">
        <v>28</v>
      </c>
      <c r="F149" s="43" t="n">
        <v>44486</v>
      </c>
      <c r="G149" s="44" t="n">
        <v>104770</v>
      </c>
      <c r="H149" s="41" t="s">
        <v>15</v>
      </c>
      <c r="I149" s="45" t="str">
        <f aca="false">"IND"</f>
        <v>IND</v>
      </c>
      <c r="J149" s="23" t="n">
        <f aca="false">TODAY()-staff[[#This Row],[Date Joined]]</f>
        <v>1483</v>
      </c>
      <c r="K149" s="23" t="n">
        <f aca="false">ROUNDUP(IF(staff[[#This Row],[Tenure]]&gt;2,3%,2%)*staff[[#This Row],[Salary]],0)</f>
        <v>3144</v>
      </c>
      <c r="L149" s="23" t="n">
        <f aca="false">_xlfn.xlookup(staff[[#This Row],[Rating]],Sheet2!$B$3:$B$7,Sheet2!$C$3:$C$7)</f>
        <v>3</v>
      </c>
    </row>
    <row r="150" customFormat="false" ht="15" hidden="false" customHeight="false" outlineLevel="0" collapsed="false">
      <c r="B150" s="46" t="s">
        <v>165</v>
      </c>
      <c r="C150" s="47" t="s">
        <v>17</v>
      </c>
      <c r="D150" s="47" t="s">
        <v>14</v>
      </c>
      <c r="E150" s="48" t="n">
        <v>28</v>
      </c>
      <c r="F150" s="49" t="n">
        <v>44425</v>
      </c>
      <c r="G150" s="50" t="n">
        <v>104770</v>
      </c>
      <c r="H150" s="47" t="s">
        <v>15</v>
      </c>
      <c r="I150" s="51" t="s">
        <v>208</v>
      </c>
      <c r="J150" s="23" t="n">
        <f aca="false">TODAY()-staff[[#This Row],[Date Joined]]</f>
        <v>1544</v>
      </c>
      <c r="K150" s="23" t="n">
        <f aca="false">ROUNDUP(IF(staff[[#This Row],[Tenure]]&gt;2,3%,2%)*staff[[#This Row],[Salary]],0)</f>
        <v>3144</v>
      </c>
      <c r="L150" s="23" t="n">
        <f aca="false">_xlfn.xlookup(staff[[#This Row],[Rating]],Sheet2!$B$3:$B$7,Sheet2!$C$3:$C$7)</f>
        <v>3</v>
      </c>
    </row>
    <row r="151" customFormat="false" ht="15" hidden="false" customHeight="false" outlineLevel="0" collapsed="false">
      <c r="B151" s="40" t="s">
        <v>96</v>
      </c>
      <c r="C151" s="41" t="s">
        <v>10</v>
      </c>
      <c r="D151" s="41" t="s">
        <v>14</v>
      </c>
      <c r="E151" s="42" t="n">
        <v>23</v>
      </c>
      <c r="F151" s="43" t="n">
        <v>44440</v>
      </c>
      <c r="G151" s="44" t="n">
        <v>106460</v>
      </c>
      <c r="H151" s="41" t="s">
        <v>15</v>
      </c>
      <c r="I151" s="45" t="str">
        <f aca="false">"IND"</f>
        <v>IND</v>
      </c>
      <c r="J151" s="23" t="n">
        <f aca="false">TODAY()-staff[[#This Row],[Date Joined]]</f>
        <v>1529</v>
      </c>
      <c r="K151" s="23" t="n">
        <f aca="false">ROUNDUP(IF(staff[[#This Row],[Tenure]]&gt;2,3%,2%)*staff[[#This Row],[Salary]],0)</f>
        <v>3194</v>
      </c>
      <c r="L151" s="23" t="n">
        <f aca="false">_xlfn.xlookup(staff[[#This Row],[Rating]],Sheet2!$B$3:$B$7,Sheet2!$C$3:$C$7)</f>
        <v>3</v>
      </c>
    </row>
    <row r="152" customFormat="false" ht="15" hidden="false" customHeight="false" outlineLevel="0" collapsed="false">
      <c r="B152" s="46" t="s">
        <v>157</v>
      </c>
      <c r="C152" s="47" t="s">
        <v>10</v>
      </c>
      <c r="D152" s="47" t="s">
        <v>14</v>
      </c>
      <c r="E152" s="48" t="n">
        <v>23</v>
      </c>
      <c r="F152" s="49" t="n">
        <v>44378</v>
      </c>
      <c r="G152" s="50" t="n">
        <v>106460</v>
      </c>
      <c r="H152" s="47" t="s">
        <v>15</v>
      </c>
      <c r="I152" s="51" t="s">
        <v>208</v>
      </c>
      <c r="J152" s="23" t="n">
        <f aca="false">TODAY()-staff[[#This Row],[Date Joined]]</f>
        <v>1591</v>
      </c>
      <c r="K152" s="23" t="n">
        <f aca="false">ROUNDUP(IF(staff[[#This Row],[Tenure]]&gt;2,3%,2%)*staff[[#This Row],[Salary]],0)</f>
        <v>3194</v>
      </c>
      <c r="L152" s="23" t="n">
        <f aca="false">_xlfn.xlookup(staff[[#This Row],[Rating]],Sheet2!$B$3:$B$7,Sheet2!$C$3:$C$7)</f>
        <v>3</v>
      </c>
    </row>
    <row r="153" customFormat="false" ht="15" hidden="false" customHeight="false" outlineLevel="0" collapsed="false">
      <c r="B153" s="40" t="s">
        <v>32</v>
      </c>
      <c r="C153" s="41" t="s">
        <v>10</v>
      </c>
      <c r="D153" s="41" t="s">
        <v>25</v>
      </c>
      <c r="E153" s="42" t="n">
        <v>20</v>
      </c>
      <c r="F153" s="43" t="n">
        <v>44459</v>
      </c>
      <c r="G153" s="44" t="n">
        <v>107700</v>
      </c>
      <c r="H153" s="41" t="s">
        <v>15</v>
      </c>
      <c r="I153" s="45" t="str">
        <f aca="false">"IND"</f>
        <v>IND</v>
      </c>
      <c r="J153" s="23" t="n">
        <f aca="false">TODAY()-staff[[#This Row],[Date Joined]]</f>
        <v>1510</v>
      </c>
      <c r="K153" s="23" t="n">
        <f aca="false">ROUNDUP(IF(staff[[#This Row],[Tenure]]&gt;2,3%,2%)*staff[[#This Row],[Salary]],0)</f>
        <v>3231</v>
      </c>
      <c r="L153" s="23" t="n">
        <f aca="false">_xlfn.xlookup(staff[[#This Row],[Rating]],Sheet2!$B$3:$B$7,Sheet2!$C$3:$C$7)</f>
        <v>3</v>
      </c>
    </row>
    <row r="154" customFormat="false" ht="15" hidden="false" customHeight="false" outlineLevel="0" collapsed="false">
      <c r="B154" s="46" t="s">
        <v>163</v>
      </c>
      <c r="C154" s="32" t="s">
        <v>10</v>
      </c>
      <c r="D154" s="47" t="s">
        <v>25</v>
      </c>
      <c r="E154" s="48" t="n">
        <v>20</v>
      </c>
      <c r="F154" s="49" t="n">
        <v>44397</v>
      </c>
      <c r="G154" s="50" t="n">
        <v>107700</v>
      </c>
      <c r="H154" s="47" t="s">
        <v>15</v>
      </c>
      <c r="I154" s="51" t="s">
        <v>208</v>
      </c>
      <c r="J154" s="23" t="n">
        <f aca="false">TODAY()-staff[[#This Row],[Date Joined]]</f>
        <v>1572</v>
      </c>
      <c r="K154" s="23" t="n">
        <f aca="false">ROUNDUP(IF(staff[[#This Row],[Tenure]]&gt;2,3%,2%)*staff[[#This Row],[Salary]],0)</f>
        <v>3231</v>
      </c>
      <c r="L154" s="23" t="n">
        <f aca="false">_xlfn.xlookup(staff[[#This Row],[Rating]],Sheet2!$B$3:$B$7,Sheet2!$C$3:$C$7)</f>
        <v>3</v>
      </c>
    </row>
    <row r="155" customFormat="false" ht="15" hidden="false" customHeight="false" outlineLevel="0" collapsed="false">
      <c r="B155" s="40" t="s">
        <v>76</v>
      </c>
      <c r="C155" s="41" t="s">
        <v>17</v>
      </c>
      <c r="D155" s="41" t="s">
        <v>11</v>
      </c>
      <c r="E155" s="42" t="n">
        <v>38</v>
      </c>
      <c r="F155" s="43" t="n">
        <v>44377</v>
      </c>
      <c r="G155" s="44" t="n">
        <v>109160</v>
      </c>
      <c r="H155" s="41" t="s">
        <v>45</v>
      </c>
      <c r="I155" s="45" t="str">
        <f aca="false">"IND"</f>
        <v>IND</v>
      </c>
      <c r="J155" s="23" t="n">
        <f aca="false">TODAY()-staff[[#This Row],[Date Joined]]</f>
        <v>1592</v>
      </c>
      <c r="K155" s="23" t="n">
        <f aca="false">ROUNDUP(IF(staff[[#This Row],[Tenure]]&gt;2,3%,2%)*staff[[#This Row],[Salary]],0)</f>
        <v>3275</v>
      </c>
      <c r="L155" s="23" t="n">
        <f aca="false">_xlfn.xlookup(staff[[#This Row],[Rating]],Sheet2!$B$3:$B$7,Sheet2!$C$3:$C$7)</f>
        <v>5</v>
      </c>
    </row>
    <row r="156" customFormat="false" ht="15" hidden="false" customHeight="false" outlineLevel="0" collapsed="false">
      <c r="B156" s="40" t="s">
        <v>149</v>
      </c>
      <c r="C156" s="41" t="s">
        <v>17</v>
      </c>
      <c r="D156" s="41" t="s">
        <v>11</v>
      </c>
      <c r="E156" s="42" t="n">
        <v>38</v>
      </c>
      <c r="F156" s="43" t="n">
        <v>44316</v>
      </c>
      <c r="G156" s="44" t="n">
        <v>109160</v>
      </c>
      <c r="H156" s="41" t="s">
        <v>45</v>
      </c>
      <c r="I156" s="45" t="s">
        <v>208</v>
      </c>
      <c r="J156" s="23" t="n">
        <f aca="false">TODAY()-staff[[#This Row],[Date Joined]]</f>
        <v>1653</v>
      </c>
      <c r="K156" s="23" t="n">
        <f aca="false">ROUNDUP(IF(staff[[#This Row],[Tenure]]&gt;2,3%,2%)*staff[[#This Row],[Salary]],0)</f>
        <v>3275</v>
      </c>
      <c r="L156" s="23" t="n">
        <f aca="false">_xlfn.xlookup(staff[[#This Row],[Rating]],Sheet2!$B$3:$B$7,Sheet2!$C$3:$C$7)</f>
        <v>5</v>
      </c>
    </row>
    <row r="157" customFormat="false" ht="15" hidden="false" customHeight="false" outlineLevel="0" collapsed="false">
      <c r="B157" s="40" t="s">
        <v>54</v>
      </c>
      <c r="C157" s="41" t="s">
        <v>10</v>
      </c>
      <c r="D157" s="41" t="s">
        <v>14</v>
      </c>
      <c r="E157" s="42" t="n">
        <v>25</v>
      </c>
      <c r="F157" s="43" t="n">
        <v>44726</v>
      </c>
      <c r="G157" s="44" t="n">
        <v>109190</v>
      </c>
      <c r="H157" s="41" t="s">
        <v>12</v>
      </c>
      <c r="I157" s="45" t="str">
        <f aca="false">"IND"</f>
        <v>IND</v>
      </c>
      <c r="J157" s="23" t="n">
        <f aca="false">TODAY()-staff[[#This Row],[Date Joined]]</f>
        <v>1243</v>
      </c>
      <c r="K157" s="23" t="n">
        <f aca="false">ROUNDUP(IF(staff[[#This Row],[Tenure]]&gt;2,3%,2%)*staff[[#This Row],[Salary]],0)</f>
        <v>3276</v>
      </c>
      <c r="L157" s="23" t="n">
        <f aca="false">_xlfn.xlookup(staff[[#This Row],[Rating]],Sheet2!$B$3:$B$7,Sheet2!$C$3:$C$7)</f>
        <v>4</v>
      </c>
    </row>
    <row r="158" customFormat="false" ht="15" hidden="false" customHeight="false" outlineLevel="0" collapsed="false">
      <c r="B158" s="40" t="s">
        <v>193</v>
      </c>
      <c r="C158" s="0" t="s">
        <v>10</v>
      </c>
      <c r="D158" s="41" t="s">
        <v>14</v>
      </c>
      <c r="E158" s="42" t="n">
        <v>25</v>
      </c>
      <c r="F158" s="43" t="n">
        <v>44665</v>
      </c>
      <c r="G158" s="44" t="n">
        <v>109190</v>
      </c>
      <c r="H158" s="41" t="s">
        <v>12</v>
      </c>
      <c r="I158" s="45" t="s">
        <v>208</v>
      </c>
      <c r="J158" s="23" t="n">
        <f aca="false">TODAY()-staff[[#This Row],[Date Joined]]</f>
        <v>1304</v>
      </c>
      <c r="K158" s="23" t="n">
        <f aca="false">ROUNDUP(IF(staff[[#This Row],[Tenure]]&gt;2,3%,2%)*staff[[#This Row],[Salary]],0)</f>
        <v>3276</v>
      </c>
      <c r="L158" s="23" t="n">
        <f aca="false">_xlfn.xlookup(staff[[#This Row],[Rating]],Sheet2!$B$3:$B$7,Sheet2!$C$3:$C$7)</f>
        <v>4</v>
      </c>
    </row>
    <row r="159" customFormat="false" ht="15" hidden="false" customHeight="false" outlineLevel="0" collapsed="false">
      <c r="B159" s="40" t="s">
        <v>29</v>
      </c>
      <c r="C159" s="41" t="s">
        <v>10</v>
      </c>
      <c r="D159" s="41" t="s">
        <v>25</v>
      </c>
      <c r="E159" s="42" t="n">
        <v>29</v>
      </c>
      <c r="F159" s="43" t="n">
        <v>44180</v>
      </c>
      <c r="G159" s="44" t="n">
        <v>112110</v>
      </c>
      <c r="H159" s="41" t="s">
        <v>20</v>
      </c>
      <c r="I159" s="45" t="str">
        <f aca="false">"IND"</f>
        <v>IND</v>
      </c>
      <c r="J159" s="23" t="n">
        <f aca="false">TODAY()-staff[[#This Row],[Date Joined]]</f>
        <v>1789</v>
      </c>
      <c r="K159" s="23" t="n">
        <f aca="false">ROUNDUP(IF(staff[[#This Row],[Tenure]]&gt;2,3%,2%)*staff[[#This Row],[Salary]],0)</f>
        <v>3364</v>
      </c>
      <c r="L159" s="23" t="n">
        <f aca="false">_xlfn.xlookup(staff[[#This Row],[Rating]],Sheet2!$B$3:$B$7,Sheet2!$C$3:$C$7)</f>
        <v>2</v>
      </c>
    </row>
    <row r="160" customFormat="false" ht="15" hidden="false" customHeight="false" outlineLevel="0" collapsed="false">
      <c r="B160" s="40" t="s">
        <v>127</v>
      </c>
      <c r="C160" s="41" t="s">
        <v>10</v>
      </c>
      <c r="D160" s="41" t="s">
        <v>25</v>
      </c>
      <c r="E160" s="42" t="n">
        <v>29</v>
      </c>
      <c r="F160" s="43" t="n">
        <v>44119</v>
      </c>
      <c r="G160" s="44" t="n">
        <v>112110</v>
      </c>
      <c r="H160" s="41" t="s">
        <v>20</v>
      </c>
      <c r="I160" s="45" t="s">
        <v>208</v>
      </c>
      <c r="J160" s="23" t="n">
        <f aca="false">TODAY()-staff[[#This Row],[Date Joined]]</f>
        <v>1850</v>
      </c>
      <c r="K160" s="23" t="n">
        <f aca="false">ROUNDUP(IF(staff[[#This Row],[Tenure]]&gt;2,3%,2%)*staff[[#This Row],[Salary]],0)</f>
        <v>3364</v>
      </c>
      <c r="L160" s="23" t="n">
        <f aca="false">_xlfn.xlookup(staff[[#This Row],[Rating]],Sheet2!$B$3:$B$7,Sheet2!$C$3:$C$7)</f>
        <v>2</v>
      </c>
    </row>
    <row r="161" customFormat="false" ht="15" hidden="false" customHeight="false" outlineLevel="0" collapsed="false">
      <c r="B161" s="40" t="s">
        <v>22</v>
      </c>
      <c r="C161" s="41" t="s">
        <v>17</v>
      </c>
      <c r="D161" s="41" t="s">
        <v>14</v>
      </c>
      <c r="E161" s="42" t="n">
        <v>30</v>
      </c>
      <c r="F161" s="43" t="n">
        <v>44861</v>
      </c>
      <c r="G161" s="44" t="n">
        <v>112570</v>
      </c>
      <c r="H161" s="41" t="s">
        <v>15</v>
      </c>
      <c r="I161" s="45" t="str">
        <f aca="false">"IND"</f>
        <v>IND</v>
      </c>
      <c r="J161" s="23" t="n">
        <f aca="false">TODAY()-staff[[#This Row],[Date Joined]]</f>
        <v>1108</v>
      </c>
      <c r="K161" s="23" t="n">
        <f aca="false">ROUNDUP(IF(staff[[#This Row],[Tenure]]&gt;2,3%,2%)*staff[[#This Row],[Salary]],0)</f>
        <v>3378</v>
      </c>
      <c r="L161" s="23" t="n">
        <f aca="false">_xlfn.xlookup(staff[[#This Row],[Rating]],Sheet2!$B$3:$B$7,Sheet2!$C$3:$C$7)</f>
        <v>3</v>
      </c>
    </row>
    <row r="162" customFormat="false" ht="15" hidden="false" customHeight="false" outlineLevel="0" collapsed="false">
      <c r="B162" s="40" t="s">
        <v>205</v>
      </c>
      <c r="C162" s="41" t="s">
        <v>17</v>
      </c>
      <c r="D162" s="41" t="s">
        <v>14</v>
      </c>
      <c r="E162" s="42" t="n">
        <v>30</v>
      </c>
      <c r="F162" s="43" t="n">
        <v>44800</v>
      </c>
      <c r="G162" s="44" t="n">
        <v>112570</v>
      </c>
      <c r="H162" s="41" t="s">
        <v>15</v>
      </c>
      <c r="I162" s="45" t="s">
        <v>208</v>
      </c>
      <c r="J162" s="23" t="n">
        <f aca="false">TODAY()-staff[[#This Row],[Date Joined]]</f>
        <v>1169</v>
      </c>
      <c r="K162" s="23" t="n">
        <f aca="false">ROUNDUP(IF(staff[[#This Row],[Tenure]]&gt;2,3%,2%)*staff[[#This Row],[Salary]],0)</f>
        <v>3378</v>
      </c>
      <c r="L162" s="23" t="n">
        <f aca="false">_xlfn.xlookup(staff[[#This Row],[Rating]],Sheet2!$B$3:$B$7,Sheet2!$C$3:$C$7)</f>
        <v>3</v>
      </c>
    </row>
    <row r="163" customFormat="false" ht="15" hidden="false" customHeight="false" outlineLevel="0" collapsed="false">
      <c r="B163" s="40" t="s">
        <v>65</v>
      </c>
      <c r="C163" s="41" t="s">
        <v>10</v>
      </c>
      <c r="D163" s="41" t="s">
        <v>25</v>
      </c>
      <c r="E163" s="42" t="n">
        <v>20</v>
      </c>
      <c r="F163" s="43" t="n">
        <v>44183</v>
      </c>
      <c r="G163" s="44" t="n">
        <v>112650</v>
      </c>
      <c r="H163" s="41" t="s">
        <v>15</v>
      </c>
      <c r="I163" s="45" t="str">
        <f aca="false">"IND"</f>
        <v>IND</v>
      </c>
      <c r="J163" s="23" t="n">
        <f aca="false">TODAY()-staff[[#This Row],[Date Joined]]</f>
        <v>1786</v>
      </c>
      <c r="K163" s="23" t="n">
        <f aca="false">ROUNDUP(IF(staff[[#This Row],[Tenure]]&gt;2,3%,2%)*staff[[#This Row],[Salary]],0)</f>
        <v>3380</v>
      </c>
      <c r="L163" s="23" t="n">
        <f aca="false">_xlfn.xlookup(staff[[#This Row],[Rating]],Sheet2!$B$3:$B$7,Sheet2!$C$3:$C$7)</f>
        <v>3</v>
      </c>
    </row>
    <row r="164" customFormat="false" ht="15" hidden="false" customHeight="false" outlineLevel="0" collapsed="false">
      <c r="B164" s="40" t="s">
        <v>65</v>
      </c>
      <c r="C164" s="41" t="s">
        <v>10</v>
      </c>
      <c r="D164" s="41" t="s">
        <v>14</v>
      </c>
      <c r="E164" s="42" t="n">
        <v>34</v>
      </c>
      <c r="F164" s="43" t="n">
        <v>44703</v>
      </c>
      <c r="G164" s="44" t="n">
        <v>112650</v>
      </c>
      <c r="H164" s="41" t="s">
        <v>15</v>
      </c>
      <c r="I164" s="45" t="str">
        <f aca="false">"IND"</f>
        <v>IND</v>
      </c>
      <c r="J164" s="23" t="n">
        <f aca="false">TODAY()-staff[[#This Row],[Date Joined]]</f>
        <v>1266</v>
      </c>
      <c r="K164" s="23" t="n">
        <f aca="false">ROUNDUP(IF(staff[[#This Row],[Tenure]]&gt;2,3%,2%)*staff[[#This Row],[Salary]],0)</f>
        <v>3380</v>
      </c>
      <c r="L164" s="23" t="n">
        <f aca="false">_xlfn.xlookup(staff[[#This Row],[Rating]],Sheet2!$B$3:$B$7,Sheet2!$C$3:$C$7)</f>
        <v>3</v>
      </c>
    </row>
    <row r="165" customFormat="false" ht="15" hidden="false" customHeight="false" outlineLevel="0" collapsed="false">
      <c r="B165" s="46" t="s">
        <v>128</v>
      </c>
      <c r="C165" s="47" t="s">
        <v>10</v>
      </c>
      <c r="D165" s="47" t="s">
        <v>25</v>
      </c>
      <c r="E165" s="48" t="n">
        <v>20</v>
      </c>
      <c r="F165" s="49" t="n">
        <v>44122</v>
      </c>
      <c r="G165" s="52" t="n">
        <v>112650</v>
      </c>
      <c r="H165" s="47" t="s">
        <v>15</v>
      </c>
      <c r="I165" s="51" t="s">
        <v>208</v>
      </c>
      <c r="J165" s="23" t="n">
        <f aca="false">TODAY()-staff[[#This Row],[Date Joined]]</f>
        <v>1847</v>
      </c>
      <c r="K165" s="23" t="n">
        <f aca="false">ROUNDUP(IF(staff[[#This Row],[Tenure]]&gt;2,3%,2%)*staff[[#This Row],[Salary]],0)</f>
        <v>3380</v>
      </c>
      <c r="L165" s="23" t="n">
        <f aca="false">_xlfn.xlookup(staff[[#This Row],[Rating]],Sheet2!$B$3:$B$7,Sheet2!$C$3:$C$7)</f>
        <v>3</v>
      </c>
    </row>
    <row r="166" customFormat="false" ht="15" hidden="false" customHeight="false" outlineLevel="0" collapsed="false">
      <c r="B166" s="46" t="s">
        <v>190</v>
      </c>
      <c r="C166" s="47" t="s">
        <v>10</v>
      </c>
      <c r="D166" s="47" t="s">
        <v>14</v>
      </c>
      <c r="E166" s="48" t="n">
        <v>34</v>
      </c>
      <c r="F166" s="49" t="n">
        <v>44642</v>
      </c>
      <c r="G166" s="50" t="n">
        <v>112650</v>
      </c>
      <c r="H166" s="47" t="s">
        <v>15</v>
      </c>
      <c r="I166" s="51" t="s">
        <v>208</v>
      </c>
      <c r="J166" s="23" t="n">
        <f aca="false">TODAY()-staff[[#This Row],[Date Joined]]</f>
        <v>1327</v>
      </c>
      <c r="K166" s="23" t="n">
        <f aca="false">ROUNDUP(IF(staff[[#This Row],[Tenure]]&gt;2,3%,2%)*staff[[#This Row],[Salary]],0)</f>
        <v>3380</v>
      </c>
      <c r="L166" s="23" t="n">
        <f aca="false">_xlfn.xlookup(staff[[#This Row],[Rating]],Sheet2!$B$3:$B$7,Sheet2!$C$3:$C$7)</f>
        <v>3</v>
      </c>
    </row>
    <row r="167" customFormat="false" ht="15" hidden="false" customHeight="false" outlineLevel="0" collapsed="false">
      <c r="B167" s="40" t="s">
        <v>9</v>
      </c>
      <c r="C167" s="41" t="s">
        <v>10</v>
      </c>
      <c r="D167" s="41" t="s">
        <v>11</v>
      </c>
      <c r="E167" s="42" t="n">
        <v>22</v>
      </c>
      <c r="F167" s="43" t="n">
        <v>44446</v>
      </c>
      <c r="G167" s="44" t="n">
        <v>112780</v>
      </c>
      <c r="H167" s="41" t="s">
        <v>12</v>
      </c>
      <c r="I167" s="45" t="str">
        <f aca="false">"IND"</f>
        <v>IND</v>
      </c>
      <c r="J167" s="23" t="n">
        <f aca="false">TODAY()-staff[[#This Row],[Date Joined]]</f>
        <v>1523</v>
      </c>
      <c r="K167" s="23" t="n">
        <f aca="false">ROUNDUP(IF(staff[[#This Row],[Tenure]]&gt;2,3%,2%)*staff[[#This Row],[Salary]],0)</f>
        <v>3384</v>
      </c>
      <c r="L167" s="23" t="n">
        <f aca="false">_xlfn.xlookup(staff[[#This Row],[Rating]],Sheet2!$B$3:$B$7,Sheet2!$C$3:$C$7)</f>
        <v>4</v>
      </c>
    </row>
    <row r="168" customFormat="false" ht="15" hidden="false" customHeight="false" outlineLevel="0" collapsed="false">
      <c r="B168" s="40" t="s">
        <v>159</v>
      </c>
      <c r="C168" s="41" t="s">
        <v>10</v>
      </c>
      <c r="D168" s="41" t="s">
        <v>11</v>
      </c>
      <c r="E168" s="42" t="n">
        <v>22</v>
      </c>
      <c r="F168" s="43" t="n">
        <v>44384</v>
      </c>
      <c r="G168" s="44" t="n">
        <v>112780</v>
      </c>
      <c r="H168" s="41" t="s">
        <v>12</v>
      </c>
      <c r="I168" s="45" t="s">
        <v>208</v>
      </c>
      <c r="J168" s="23" t="n">
        <f aca="false">TODAY()-staff[[#This Row],[Date Joined]]</f>
        <v>1585</v>
      </c>
      <c r="K168" s="23" t="n">
        <f aca="false">ROUNDUP(IF(staff[[#This Row],[Tenure]]&gt;2,3%,2%)*staff[[#This Row],[Salary]],0)</f>
        <v>3384</v>
      </c>
      <c r="L168" s="23" t="n">
        <f aca="false">_xlfn.xlookup(staff[[#This Row],[Rating]],Sheet2!$B$3:$B$7,Sheet2!$C$3:$C$7)</f>
        <v>4</v>
      </c>
    </row>
    <row r="169" customFormat="false" ht="15" hidden="false" customHeight="false" outlineLevel="0" collapsed="false">
      <c r="B169" s="40" t="s">
        <v>77</v>
      </c>
      <c r="C169" s="41" t="s">
        <v>10</v>
      </c>
      <c r="D169" s="41" t="s">
        <v>14</v>
      </c>
      <c r="E169" s="42" t="n">
        <v>27</v>
      </c>
      <c r="F169" s="43" t="n">
        <v>44609</v>
      </c>
      <c r="G169" s="44" t="n">
        <v>113280</v>
      </c>
      <c r="H169" s="41" t="s">
        <v>51</v>
      </c>
      <c r="I169" s="45" t="str">
        <f aca="false">"IND"</f>
        <v>IND</v>
      </c>
      <c r="J169" s="23" t="n">
        <f aca="false">TODAY()-staff[[#This Row],[Date Joined]]</f>
        <v>1360</v>
      </c>
      <c r="K169" s="23" t="n">
        <f aca="false">ROUNDUP(IF(staff[[#This Row],[Tenure]]&gt;2,3%,2%)*staff[[#This Row],[Salary]],0)</f>
        <v>3399</v>
      </c>
      <c r="L169" s="23" t="n">
        <f aca="false">_xlfn.xlookup(staff[[#This Row],[Rating]],Sheet2!$B$3:$B$7,Sheet2!$C$3:$C$7)</f>
        <v>1</v>
      </c>
    </row>
    <row r="170" customFormat="false" ht="15" hidden="false" customHeight="false" outlineLevel="0" collapsed="false">
      <c r="B170" s="40" t="s">
        <v>174</v>
      </c>
      <c r="C170" s="41" t="s">
        <v>10</v>
      </c>
      <c r="D170" s="41" t="s">
        <v>14</v>
      </c>
      <c r="E170" s="42" t="n">
        <v>27</v>
      </c>
      <c r="F170" s="43" t="n">
        <v>44547</v>
      </c>
      <c r="G170" s="44" t="n">
        <v>113280</v>
      </c>
      <c r="H170" s="41" t="s">
        <v>51</v>
      </c>
      <c r="I170" s="45" t="s">
        <v>208</v>
      </c>
      <c r="J170" s="23" t="n">
        <f aca="false">TODAY()-staff[[#This Row],[Date Joined]]</f>
        <v>1422</v>
      </c>
      <c r="K170" s="23" t="n">
        <f aca="false">ROUNDUP(IF(staff[[#This Row],[Tenure]]&gt;2,3%,2%)*staff[[#This Row],[Salary]],0)</f>
        <v>3399</v>
      </c>
      <c r="L170" s="23" t="n">
        <f aca="false">_xlfn.xlookup(staff[[#This Row],[Rating]],Sheet2!$B$3:$B$7,Sheet2!$C$3:$C$7)</f>
        <v>1</v>
      </c>
    </row>
    <row r="171" customFormat="false" ht="15" hidden="false" customHeight="false" outlineLevel="0" collapsed="false">
      <c r="B171" s="40" t="s">
        <v>94</v>
      </c>
      <c r="C171" s="41" t="s">
        <v>17</v>
      </c>
      <c r="D171" s="41" t="s">
        <v>14</v>
      </c>
      <c r="E171" s="42" t="n">
        <v>30</v>
      </c>
      <c r="F171" s="43" t="n">
        <v>44850</v>
      </c>
      <c r="G171" s="44" t="n">
        <v>114180</v>
      </c>
      <c r="H171" s="41" t="s">
        <v>15</v>
      </c>
      <c r="I171" s="45" t="str">
        <f aca="false">"IND"</f>
        <v>IND</v>
      </c>
      <c r="J171" s="23" t="n">
        <f aca="false">TODAY()-staff[[#This Row],[Date Joined]]</f>
        <v>1119</v>
      </c>
      <c r="K171" s="23" t="n">
        <f aca="false">ROUNDUP(IF(staff[[#This Row],[Tenure]]&gt;2,3%,2%)*staff[[#This Row],[Salary]],0)</f>
        <v>3426</v>
      </c>
      <c r="L171" s="23" t="n">
        <f aca="false">_xlfn.xlookup(staff[[#This Row],[Rating]],Sheet2!$B$3:$B$7,Sheet2!$C$3:$C$7)</f>
        <v>3</v>
      </c>
    </row>
    <row r="172" customFormat="false" ht="15" hidden="false" customHeight="false" outlineLevel="0" collapsed="false">
      <c r="B172" s="40" t="s">
        <v>204</v>
      </c>
      <c r="C172" s="41" t="s">
        <v>17</v>
      </c>
      <c r="D172" s="41" t="s">
        <v>14</v>
      </c>
      <c r="E172" s="42" t="n">
        <v>30</v>
      </c>
      <c r="F172" s="43" t="n">
        <v>44789</v>
      </c>
      <c r="G172" s="44" t="n">
        <v>114180</v>
      </c>
      <c r="H172" s="41" t="s">
        <v>15</v>
      </c>
      <c r="I172" s="45" t="s">
        <v>208</v>
      </c>
      <c r="J172" s="23" t="n">
        <f aca="false">TODAY()-staff[[#This Row],[Date Joined]]</f>
        <v>1180</v>
      </c>
      <c r="K172" s="23" t="n">
        <f aca="false">ROUNDUP(IF(staff[[#This Row],[Tenure]]&gt;2,3%,2%)*staff[[#This Row],[Salary]],0)</f>
        <v>3426</v>
      </c>
      <c r="L172" s="23" t="n">
        <f aca="false">_xlfn.xlookup(staff[[#This Row],[Rating]],Sheet2!$B$3:$B$7,Sheet2!$C$3:$C$7)</f>
        <v>3</v>
      </c>
    </row>
    <row r="173" customFormat="false" ht="15" hidden="false" customHeight="false" outlineLevel="0" collapsed="false">
      <c r="B173" s="40" t="s">
        <v>81</v>
      </c>
      <c r="C173" s="41" t="s">
        <v>17</v>
      </c>
      <c r="D173" s="41" t="s">
        <v>25</v>
      </c>
      <c r="E173" s="42" t="n">
        <v>43</v>
      </c>
      <c r="F173" s="43" t="n">
        <v>45045</v>
      </c>
      <c r="G173" s="44" t="n">
        <v>114870</v>
      </c>
      <c r="H173" s="41" t="s">
        <v>15</v>
      </c>
      <c r="I173" s="45" t="str">
        <f aca="false">"IND"</f>
        <v>IND</v>
      </c>
      <c r="J173" s="23" t="n">
        <f aca="false">TODAY()-staff[[#This Row],[Date Joined]]</f>
        <v>924</v>
      </c>
      <c r="K173" s="23" t="n">
        <f aca="false">ROUNDUP(IF(staff[[#This Row],[Tenure]]&gt;2,3%,2%)*staff[[#This Row],[Salary]],0)</f>
        <v>3447</v>
      </c>
      <c r="L173" s="23" t="n">
        <f aca="false">_xlfn.xlookup(staff[[#This Row],[Rating]],Sheet2!$B$3:$B$7,Sheet2!$C$3:$C$7)</f>
        <v>3</v>
      </c>
    </row>
    <row r="174" customFormat="false" ht="15" hidden="false" customHeight="false" outlineLevel="0" collapsed="false">
      <c r="B174" s="40" t="s">
        <v>206</v>
      </c>
      <c r="C174" s="41" t="s">
        <v>17</v>
      </c>
      <c r="D174" s="41" t="s">
        <v>25</v>
      </c>
      <c r="E174" s="42" t="n">
        <v>44</v>
      </c>
      <c r="F174" s="43" t="n">
        <v>44985</v>
      </c>
      <c r="G174" s="44" t="n">
        <v>114870</v>
      </c>
      <c r="H174" s="41" t="s">
        <v>15</v>
      </c>
      <c r="I174" s="45" t="s">
        <v>208</v>
      </c>
      <c r="J174" s="23" t="n">
        <f aca="false">TODAY()-staff[[#This Row],[Date Joined]]</f>
        <v>984</v>
      </c>
      <c r="K174" s="23" t="n">
        <f aca="false">ROUNDUP(IF(staff[[#This Row],[Tenure]]&gt;2,3%,2%)*staff[[#This Row],[Salary]],0)</f>
        <v>3447</v>
      </c>
      <c r="L174" s="23" t="n">
        <f aca="false">_xlfn.xlookup(staff[[#This Row],[Rating]],Sheet2!$B$3:$B$7,Sheet2!$C$3:$C$7)</f>
        <v>3</v>
      </c>
    </row>
    <row r="175" customFormat="false" ht="15" hidden="false" customHeight="false" outlineLevel="0" collapsed="false">
      <c r="B175" s="40" t="s">
        <v>73</v>
      </c>
      <c r="C175" s="41" t="s">
        <v>17</v>
      </c>
      <c r="D175" s="41" t="s">
        <v>14</v>
      </c>
      <c r="E175" s="42" t="n">
        <v>36</v>
      </c>
      <c r="F175" s="43" t="n">
        <v>44085</v>
      </c>
      <c r="G175" s="44" t="n">
        <v>114890</v>
      </c>
      <c r="H175" s="41" t="s">
        <v>15</v>
      </c>
      <c r="I175" s="45" t="str">
        <f aca="false">"IND"</f>
        <v>IND</v>
      </c>
      <c r="J175" s="23" t="n">
        <f aca="false">TODAY()-staff[[#This Row],[Date Joined]]</f>
        <v>1884</v>
      </c>
      <c r="K175" s="23" t="n">
        <f aca="false">ROUNDUP(IF(staff[[#This Row],[Tenure]]&gt;2,3%,2%)*staff[[#This Row],[Salary]],0)</f>
        <v>3447</v>
      </c>
      <c r="L175" s="23" t="n">
        <f aca="false">_xlfn.xlookup(staff[[#This Row],[Rating]],Sheet2!$B$3:$B$7,Sheet2!$C$3:$C$7)</f>
        <v>3</v>
      </c>
    </row>
    <row r="176" customFormat="false" ht="15" hidden="false" customHeight="false" outlineLevel="0" collapsed="false">
      <c r="B176" s="46" t="s">
        <v>119</v>
      </c>
      <c r="C176" s="47" t="s">
        <v>17</v>
      </c>
      <c r="D176" s="47" t="s">
        <v>14</v>
      </c>
      <c r="E176" s="48" t="n">
        <v>36</v>
      </c>
      <c r="F176" s="49" t="n">
        <v>44023</v>
      </c>
      <c r="G176" s="50" t="n">
        <v>114890</v>
      </c>
      <c r="H176" s="47" t="s">
        <v>15</v>
      </c>
      <c r="I176" s="51" t="s">
        <v>208</v>
      </c>
      <c r="J176" s="23" t="n">
        <f aca="false">TODAY()-staff[[#This Row],[Date Joined]]</f>
        <v>1946</v>
      </c>
      <c r="K176" s="23" t="n">
        <f aca="false">ROUNDUP(IF(staff[[#This Row],[Tenure]]&gt;2,3%,2%)*staff[[#This Row],[Salary]],0)</f>
        <v>3447</v>
      </c>
      <c r="L176" s="23" t="n">
        <f aca="false">_xlfn.xlookup(staff[[#This Row],[Rating]],Sheet2!$B$3:$B$7,Sheet2!$C$3:$C$7)</f>
        <v>3</v>
      </c>
    </row>
    <row r="177" customFormat="false" ht="15" hidden="false" customHeight="false" outlineLevel="0" collapsed="false">
      <c r="B177" s="40" t="s">
        <v>18</v>
      </c>
      <c r="C177" s="41" t="s">
        <v>224</v>
      </c>
      <c r="D177" s="41" t="s">
        <v>19</v>
      </c>
      <c r="E177" s="42" t="n">
        <v>37</v>
      </c>
      <c r="F177" s="43" t="n">
        <v>44146</v>
      </c>
      <c r="G177" s="44" t="n">
        <v>115440</v>
      </c>
      <c r="H177" s="41" t="s">
        <v>20</v>
      </c>
      <c r="I177" s="45" t="str">
        <f aca="false">"IND"</f>
        <v>IND</v>
      </c>
      <c r="J177" s="23" t="n">
        <f aca="false">TODAY()-staff[[#This Row],[Date Joined]]</f>
        <v>1823</v>
      </c>
      <c r="K177" s="23" t="n">
        <f aca="false">ROUNDUP(IF(staff[[#This Row],[Tenure]]&gt;2,3%,2%)*staff[[#This Row],[Salary]],0)</f>
        <v>3464</v>
      </c>
      <c r="L177" s="23" t="n">
        <f aca="false">_xlfn.xlookup(staff[[#This Row],[Rating]],Sheet2!$B$3:$B$7,Sheet2!$C$3:$C$7)</f>
        <v>2</v>
      </c>
    </row>
    <row r="178" customFormat="false" ht="15" hidden="false" customHeight="false" outlineLevel="0" collapsed="false">
      <c r="B178" s="46" t="s">
        <v>124</v>
      </c>
      <c r="C178" s="41" t="s">
        <v>224</v>
      </c>
      <c r="D178" s="47" t="s">
        <v>19</v>
      </c>
      <c r="E178" s="48" t="n">
        <v>37</v>
      </c>
      <c r="F178" s="49" t="n">
        <v>44085</v>
      </c>
      <c r="G178" s="52" t="n">
        <v>115440</v>
      </c>
      <c r="H178" s="47" t="s">
        <v>20</v>
      </c>
      <c r="I178" s="51" t="s">
        <v>208</v>
      </c>
      <c r="J178" s="23" t="n">
        <f aca="false">TODAY()-staff[[#This Row],[Date Joined]]</f>
        <v>1884</v>
      </c>
      <c r="K178" s="23" t="n">
        <f aca="false">ROUNDUP(IF(staff[[#This Row],[Tenure]]&gt;2,3%,2%)*staff[[#This Row],[Salary]],0)</f>
        <v>3464</v>
      </c>
      <c r="L178" s="23" t="n">
        <f aca="false">_xlfn.xlookup(staff[[#This Row],[Rating]],Sheet2!$B$3:$B$7,Sheet2!$C$3:$C$7)</f>
        <v>2</v>
      </c>
    </row>
    <row r="179" customFormat="false" ht="15" hidden="false" customHeight="false" outlineLevel="0" collapsed="false">
      <c r="B179" s="40" t="s">
        <v>52</v>
      </c>
      <c r="C179" s="41" t="s">
        <v>10</v>
      </c>
      <c r="D179" s="41" t="s">
        <v>14</v>
      </c>
      <c r="E179" s="42" t="n">
        <v>33</v>
      </c>
      <c r="F179" s="43" t="n">
        <v>44164</v>
      </c>
      <c r="G179" s="44" t="n">
        <v>115920</v>
      </c>
      <c r="H179" s="41" t="s">
        <v>15</v>
      </c>
      <c r="I179" s="45" t="str">
        <f aca="false">"IND"</f>
        <v>IND</v>
      </c>
      <c r="J179" s="23" t="n">
        <f aca="false">TODAY()-staff[[#This Row],[Date Joined]]</f>
        <v>1805</v>
      </c>
      <c r="K179" s="23" t="n">
        <f aca="false">ROUNDUP(IF(staff[[#This Row],[Tenure]]&gt;2,3%,2%)*staff[[#This Row],[Salary]],0)</f>
        <v>3478</v>
      </c>
      <c r="L179" s="23" t="n">
        <f aca="false">_xlfn.xlookup(staff[[#This Row],[Rating]],Sheet2!$B$3:$B$7,Sheet2!$C$3:$C$7)</f>
        <v>3</v>
      </c>
    </row>
    <row r="180" customFormat="false" ht="15" hidden="false" customHeight="false" outlineLevel="0" collapsed="false">
      <c r="B180" s="40" t="s">
        <v>126</v>
      </c>
      <c r="C180" s="41" t="s">
        <v>10</v>
      </c>
      <c r="D180" s="41" t="s">
        <v>14</v>
      </c>
      <c r="E180" s="42" t="n">
        <v>33</v>
      </c>
      <c r="F180" s="43" t="n">
        <v>44103</v>
      </c>
      <c r="G180" s="44" t="n">
        <v>115920</v>
      </c>
      <c r="H180" s="41" t="s">
        <v>15</v>
      </c>
      <c r="I180" s="45" t="s">
        <v>208</v>
      </c>
      <c r="J180" s="23" t="n">
        <f aca="false">TODAY()-staff[[#This Row],[Date Joined]]</f>
        <v>1866</v>
      </c>
      <c r="K180" s="23" t="n">
        <f aca="false">ROUNDUP(IF(staff[[#This Row],[Tenure]]&gt;2,3%,2%)*staff[[#This Row],[Salary]],0)</f>
        <v>3478</v>
      </c>
      <c r="L180" s="23" t="n">
        <f aca="false">_xlfn.xlookup(staff[[#This Row],[Rating]],Sheet2!$B$3:$B$7,Sheet2!$C$3:$C$7)</f>
        <v>3</v>
      </c>
    </row>
    <row r="181" customFormat="false" ht="15" hidden="false" customHeight="false" outlineLevel="0" collapsed="false">
      <c r="B181" s="40" t="s">
        <v>79</v>
      </c>
      <c r="C181" s="41" t="s">
        <v>17</v>
      </c>
      <c r="D181" s="41" t="s">
        <v>28</v>
      </c>
      <c r="E181" s="42" t="n">
        <v>37</v>
      </c>
      <c r="F181" s="43" t="n">
        <v>44451</v>
      </c>
      <c r="G181" s="44" t="n">
        <v>118100</v>
      </c>
      <c r="H181" s="41" t="s">
        <v>15</v>
      </c>
      <c r="I181" s="45" t="str">
        <f aca="false">"IND"</f>
        <v>IND</v>
      </c>
      <c r="J181" s="23" t="n">
        <f aca="false">TODAY()-staff[[#This Row],[Date Joined]]</f>
        <v>1518</v>
      </c>
      <c r="K181" s="23" t="n">
        <f aca="false">ROUNDUP(IF(staff[[#This Row],[Tenure]]&gt;2,3%,2%)*staff[[#This Row],[Salary]],0)</f>
        <v>3543</v>
      </c>
      <c r="L181" s="23" t="n">
        <f aca="false">_xlfn.xlookup(staff[[#This Row],[Rating]],Sheet2!$B$3:$B$7,Sheet2!$C$3:$C$7)</f>
        <v>3</v>
      </c>
    </row>
    <row r="182" customFormat="false" ht="15" hidden="false" customHeight="false" outlineLevel="0" collapsed="false">
      <c r="B182" s="40" t="s">
        <v>161</v>
      </c>
      <c r="C182" s="41" t="s">
        <v>17</v>
      </c>
      <c r="D182" s="41" t="s">
        <v>28</v>
      </c>
      <c r="E182" s="42" t="n">
        <v>37</v>
      </c>
      <c r="F182" s="43" t="n">
        <v>44389</v>
      </c>
      <c r="G182" s="44" t="n">
        <v>118100</v>
      </c>
      <c r="H182" s="41" t="s">
        <v>15</v>
      </c>
      <c r="I182" s="45" t="s">
        <v>208</v>
      </c>
      <c r="J182" s="23" t="n">
        <f aca="false">TODAY()-staff[[#This Row],[Date Joined]]</f>
        <v>1580</v>
      </c>
      <c r="K182" s="23" t="n">
        <f aca="false">ROUNDUP(IF(staff[[#This Row],[Tenure]]&gt;2,3%,2%)*staff[[#This Row],[Salary]],0)</f>
        <v>3543</v>
      </c>
      <c r="L182" s="23" t="n">
        <f aca="false">_xlfn.xlookup(staff[[#This Row],[Rating]],Sheet2!$B$3:$B$7,Sheet2!$C$3:$C$7)</f>
        <v>3</v>
      </c>
    </row>
    <row r="183" customFormat="false" ht="15" hidden="false" customHeight="false" outlineLevel="0" collapsed="false">
      <c r="B183" s="40" t="s">
        <v>70</v>
      </c>
      <c r="C183" s="41" t="s">
        <v>10</v>
      </c>
      <c r="D183" s="41" t="s">
        <v>25</v>
      </c>
      <c r="E183" s="42" t="n">
        <v>36</v>
      </c>
      <c r="F183" s="43" t="n">
        <v>44019</v>
      </c>
      <c r="G183" s="44" t="n">
        <v>118840</v>
      </c>
      <c r="H183" s="41" t="s">
        <v>15</v>
      </c>
      <c r="I183" s="45" t="str">
        <f aca="false">"IND"</f>
        <v>IND</v>
      </c>
      <c r="J183" s="23" t="n">
        <f aca="false">TODAY()-staff[[#This Row],[Date Joined]]</f>
        <v>1950</v>
      </c>
      <c r="K183" s="23" t="n">
        <f aca="false">ROUNDUP(IF(staff[[#This Row],[Tenure]]&gt;2,3%,2%)*staff[[#This Row],[Salary]],0)</f>
        <v>3566</v>
      </c>
      <c r="L183" s="23" t="n">
        <f aca="false">_xlfn.xlookup(staff[[#This Row],[Rating]],Sheet2!$B$3:$B$7,Sheet2!$C$3:$C$7)</f>
        <v>3</v>
      </c>
    </row>
    <row r="184" customFormat="false" ht="15" hidden="false" customHeight="false" outlineLevel="0" collapsed="false">
      <c r="B184" s="46" t="s">
        <v>115</v>
      </c>
      <c r="C184" s="47" t="s">
        <v>10</v>
      </c>
      <c r="D184" s="47" t="s">
        <v>25</v>
      </c>
      <c r="E184" s="48" t="n">
        <v>36</v>
      </c>
      <c r="F184" s="49" t="n">
        <v>43958</v>
      </c>
      <c r="G184" s="50" t="n">
        <v>118840</v>
      </c>
      <c r="H184" s="47" t="s">
        <v>15</v>
      </c>
      <c r="I184" s="51" t="s">
        <v>208</v>
      </c>
      <c r="J184" s="23" t="n">
        <f aca="false">TODAY()-staff[[#This Row],[Date Joined]]</f>
        <v>2011</v>
      </c>
      <c r="K184" s="23" t="n">
        <f aca="false">ROUNDUP(IF(staff[[#This Row],[Tenure]]&gt;2,3%,2%)*staff[[#This Row],[Salary]],0)</f>
        <v>3566</v>
      </c>
      <c r="L184" s="23" t="n">
        <f aca="false">_xlfn.xlookup(staff[[#This Row],[Rating]],Sheet2!$B$3:$B$7,Sheet2!$C$3:$C$7)</f>
        <v>3</v>
      </c>
    </row>
    <row r="185" customFormat="false" ht="15" hidden="false" customHeight="false" outlineLevel="0" collapsed="false">
      <c r="B185" s="40" t="s">
        <v>27</v>
      </c>
      <c r="C185" s="41" t="s">
        <v>17</v>
      </c>
      <c r="D185" s="41" t="s">
        <v>28</v>
      </c>
      <c r="E185" s="42" t="n">
        <v>27</v>
      </c>
      <c r="F185" s="43" t="n">
        <v>44122</v>
      </c>
      <c r="G185" s="44" t="n">
        <v>119110</v>
      </c>
      <c r="H185" s="41" t="s">
        <v>15</v>
      </c>
      <c r="I185" s="45" t="str">
        <f aca="false">"IND"</f>
        <v>IND</v>
      </c>
      <c r="J185" s="23" t="n">
        <f aca="false">TODAY()-staff[[#This Row],[Date Joined]]</f>
        <v>1847</v>
      </c>
      <c r="K185" s="23" t="n">
        <f aca="false">ROUNDUP(IF(staff[[#This Row],[Tenure]]&gt;2,3%,2%)*staff[[#This Row],[Salary]],0)</f>
        <v>3574</v>
      </c>
      <c r="L185" s="23" t="n">
        <f aca="false">_xlfn.xlookup(staff[[#This Row],[Rating]],Sheet2!$B$3:$B$7,Sheet2!$C$3:$C$7)</f>
        <v>3</v>
      </c>
    </row>
    <row r="186" customFormat="false" ht="15" hidden="false" customHeight="false" outlineLevel="0" collapsed="false">
      <c r="B186" s="46" t="s">
        <v>121</v>
      </c>
      <c r="C186" s="47" t="s">
        <v>17</v>
      </c>
      <c r="D186" s="47" t="s">
        <v>28</v>
      </c>
      <c r="E186" s="48" t="n">
        <v>27</v>
      </c>
      <c r="F186" s="49" t="n">
        <v>44061</v>
      </c>
      <c r="G186" s="50" t="n">
        <v>119110</v>
      </c>
      <c r="H186" s="47" t="s">
        <v>15</v>
      </c>
      <c r="I186" s="51" t="s">
        <v>208</v>
      </c>
      <c r="J186" s="23" t="n">
        <f aca="false">TODAY()-staff[[#This Row],[Date Joined]]</f>
        <v>1908</v>
      </c>
      <c r="K186" s="23" t="n">
        <f aca="false">ROUNDUP(IF(staff[[#This Row],[Tenure]]&gt;2,3%,2%)*staff[[#This Row],[Salary]],0)</f>
        <v>3574</v>
      </c>
      <c r="L186" s="23" t="n">
        <f aca="false">_xlfn.xlookup(staff[[#This Row],[Rating]],Sheet2!$B$3:$B$7,Sheet2!$C$3:$C$7)</f>
        <v>3</v>
      </c>
    </row>
    <row r="187" customFormat="false" ht="15" hidden="false" customHeight="false" outlineLevel="0" collapsed="false">
      <c r="B187" s="0" t="s">
        <v>225</v>
      </c>
      <c r="E187" s="23" t="n">
        <f aca="false">SUBTOTAL(101,E3:E186)</f>
        <v>30.445652173913</v>
      </c>
      <c r="G187" s="30" t="n">
        <f aca="false">SUBTOTAL(101,G3:G186)</f>
        <v>77366.5217391304</v>
      </c>
      <c r="I187" s="0" t="n">
        <f aca="false">SUBTOTAL(103,I3:I186)</f>
        <v>184</v>
      </c>
    </row>
  </sheetData>
  <conditionalFormatting sqref="B2:B102">
    <cfRule type="duplicateValues" priority="2" aboveAverage="0" equalAverage="0" bottom="0" percent="0" rank="0" text="" dxfId="2"/>
  </conditionalFormatting>
  <conditionalFormatting sqref="B103:B186">
    <cfRule type="duplicateValues" priority="3" aboveAverage="0" equalAverage="0" bottom="0" percent="0" rank="0" text="" dxfId="3"/>
  </conditionalFormatting>
  <conditionalFormatting sqref="G1:G1048576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:G1048576">
    <cfRule type="colorScale" priority="5">
      <colorScale>
        <cfvo type="min" val="0"/>
        <cfvo type="percentile" val="50"/>
        <cfvo type="max" val="0"/>
        <color rgb="FF5A8AC6"/>
        <color rgb="FFFCFCFF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RowHeight="15" zeroHeight="false" outlineLevelRow="0" outlineLevelCol="0"/>
  <cols>
    <col collapsed="false" customWidth="true" hidden="false" outlineLevel="0" max="1025" min="1" style="0" width="8.54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3" activeCellId="0" sqref="B3"/>
    </sheetView>
  </sheetViews>
  <sheetFormatPr defaultRowHeight="15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12.29"/>
    <col collapsed="false" customWidth="true" hidden="false" outlineLevel="0" max="3" min="3" style="0" width="15.71"/>
    <col collapsed="false" customWidth="true" hidden="false" outlineLevel="0" max="1025" min="4" style="0" width="8.54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RowHeight="15" zeroHeight="false" outlineLevelRow="0" outlineLevelCol="0"/>
  <cols>
    <col collapsed="false" customWidth="true" hidden="false" outlineLevel="0" max="1" min="1" style="0" width="8.54"/>
    <col collapsed="false" customWidth="true" hidden="false" outlineLevel="0" max="2" min="2" style="0" width="18.58"/>
    <col collapsed="false" customWidth="true" hidden="false" outlineLevel="0" max="3" min="3" style="0" width="16.42"/>
    <col collapsed="false" customWidth="true" hidden="false" outlineLevel="0" max="4" min="4" style="0" width="13.43"/>
    <col collapsed="false" customWidth="true" hidden="false" outlineLevel="0" max="1025" min="5" style="0" width="8.54"/>
  </cols>
  <sheetData>
    <row r="2" customFormat="false" ht="15" hidden="false" customHeight="false" outlineLevel="0" collapsed="false">
      <c r="B2" s="53" t="n">
        <v>3</v>
      </c>
      <c r="C2" s="0" t="s">
        <v>226</v>
      </c>
    </row>
    <row r="5" customFormat="false" ht="15" hidden="false" customHeight="false" outlineLevel="0" collapsed="false">
      <c r="B5" s="0" t="s">
        <v>227</v>
      </c>
      <c r="C5" s="54" t="s">
        <v>28</v>
      </c>
    </row>
    <row r="7" customFormat="false" ht="15" hidden="false" customHeight="false" outlineLevel="0" collapsed="false">
      <c r="B7" s="0" t="s">
        <v>228</v>
      </c>
      <c r="C7" s="0" t="n">
        <f aca="false">COUNTIF(staff[Department],C5)</f>
        <v>8</v>
      </c>
    </row>
    <row r="9" customFormat="false" ht="15" hidden="false" customHeight="false" outlineLevel="0" collapsed="false">
      <c r="B9" s="0" t="e">
        <f aca="false" t="array" ref="B9:D16">_xlfn._xlws.sort(_xlfn.choosecols(_xlfn._xlws.filter(staff[],staff[Department]=C5),1,6,7),2,-1)</f>
        <v>#NAME?</v>
      </c>
      <c r="C9" s="0" t="e">
        <v>#NAME?</v>
      </c>
      <c r="D9" s="0" t="e">
        <v>#NAME?</v>
      </c>
    </row>
    <row r="10" customFormat="false" ht="15" hidden="false" customHeight="false" outlineLevel="0" collapsed="false">
      <c r="B10" s="0" t="e">
        <v>#NAME?</v>
      </c>
      <c r="C10" s="0" t="e">
        <v>#NAME?</v>
      </c>
      <c r="D10" s="0" t="e">
        <v>#NAME?</v>
      </c>
    </row>
    <row r="11" customFormat="false" ht="15" hidden="false" customHeight="false" outlineLevel="0" collapsed="false">
      <c r="B11" s="0" t="e">
        <v>#NAME?</v>
      </c>
      <c r="C11" s="0" t="e">
        <v>#NAME?</v>
      </c>
      <c r="D11" s="0" t="e">
        <v>#NAME?</v>
      </c>
    </row>
    <row r="12" customFormat="false" ht="15" hidden="false" customHeight="false" outlineLevel="0" collapsed="false">
      <c r="B12" s="0" t="e">
        <v>#NAME?</v>
      </c>
      <c r="C12" s="0" t="e">
        <v>#NAME?</v>
      </c>
      <c r="D12" s="0" t="e">
        <v>#NAME?</v>
      </c>
    </row>
    <row r="13" customFormat="false" ht="15" hidden="false" customHeight="false" outlineLevel="0" collapsed="false">
      <c r="B13" s="0" t="e">
        <v>#NAME?</v>
      </c>
      <c r="C13" s="0" t="e">
        <v>#NAME?</v>
      </c>
      <c r="D13" s="0" t="e">
        <v>#NAME?</v>
      </c>
    </row>
    <row r="14" customFormat="false" ht="15" hidden="false" customHeight="false" outlineLevel="0" collapsed="false">
      <c r="B14" s="0" t="e">
        <v>#NAME?</v>
      </c>
      <c r="C14" s="0" t="e">
        <v>#NAME?</v>
      </c>
      <c r="D14" s="0" t="e">
        <v>#NAME?</v>
      </c>
    </row>
    <row r="15" customFormat="false" ht="15" hidden="false" customHeight="false" outlineLevel="0" collapsed="false">
      <c r="B15" s="0" t="e">
        <v>#NAME?</v>
      </c>
      <c r="C15" s="0" t="e">
        <v>#NAME?</v>
      </c>
      <c r="D15" s="0" t="e">
        <v>#NAME?</v>
      </c>
    </row>
    <row r="16" customFormat="false" ht="15" hidden="false" customHeight="false" outlineLevel="0" collapsed="false">
      <c r="B16" s="0" t="e">
        <v>#NAME?</v>
      </c>
      <c r="C16" s="0" t="e">
        <v>#NAME?</v>
      </c>
      <c r="D16" s="0" t="e">
        <v>#NAME?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" zeroHeight="false" outlineLevelRow="0" outlineLevelCol="0"/>
  <cols>
    <col collapsed="false" customWidth="true" hidden="false" outlineLevel="0" max="1" min="1" style="0" width="17.42"/>
    <col collapsed="false" customWidth="true" hidden="false" outlineLevel="0" max="2" min="2" style="0" width="10.85"/>
    <col collapsed="false" customWidth="true" hidden="false" outlineLevel="0" max="3" min="3" style="0" width="9.14"/>
    <col collapsed="false" customWidth="true" hidden="false" outlineLevel="0" max="5" min="4" style="0" width="11.71"/>
    <col collapsed="false" customWidth="true" hidden="false" outlineLevel="0" max="6" min="6" style="0" width="14.7"/>
    <col collapsed="false" customWidth="true" hidden="false" outlineLevel="0" max="7" min="7" style="0" width="19.85"/>
    <col collapsed="false" customWidth="true" hidden="false" outlineLevel="0" max="8" min="8" style="0" width="19.99"/>
    <col collapsed="false" customWidth="true" hidden="false" outlineLevel="0" max="1025" min="9" style="0" width="8.54"/>
  </cols>
  <sheetData>
    <row r="2" customFormat="false" ht="15" hidden="false" customHeight="false" outlineLevel="0" collapsed="false">
      <c r="A2" s="55"/>
      <c r="B2" s="56" t="s">
        <v>2</v>
      </c>
      <c r="C2" s="57"/>
      <c r="D2" s="58"/>
      <c r="J2" s="53" t="n">
        <v>4</v>
      </c>
      <c r="K2" s="0" t="s">
        <v>229</v>
      </c>
    </row>
    <row r="3" customFormat="false" ht="15" hidden="false" customHeight="false" outlineLevel="0" collapsed="false">
      <c r="A3" s="59" t="s">
        <v>230</v>
      </c>
      <c r="B3" s="60" t="s">
        <v>17</v>
      </c>
      <c r="C3" s="61" t="s">
        <v>10</v>
      </c>
      <c r="D3" s="62" t="s">
        <v>210</v>
      </c>
    </row>
    <row r="4" customFormat="false" ht="15" hidden="false" customHeight="false" outlineLevel="0" collapsed="false">
      <c r="A4" s="16" t="s">
        <v>209</v>
      </c>
      <c r="B4" s="63" t="n">
        <v>86</v>
      </c>
      <c r="C4" s="64" t="n">
        <v>90</v>
      </c>
      <c r="D4" s="65" t="n">
        <v>176</v>
      </c>
    </row>
    <row r="5" customFormat="false" ht="15" hidden="false" customHeight="false" outlineLevel="0" collapsed="false">
      <c r="A5" s="18" t="s">
        <v>231</v>
      </c>
      <c r="B5" s="66" t="n">
        <v>31.406976744186</v>
      </c>
      <c r="C5" s="67" t="n">
        <v>29.4444444444444</v>
      </c>
      <c r="D5" s="68" t="n">
        <v>30.4034090909091</v>
      </c>
    </row>
    <row r="6" customFormat="false" ht="15" hidden="false" customHeight="false" outlineLevel="0" collapsed="false">
      <c r="A6" s="18" t="s">
        <v>232</v>
      </c>
      <c r="B6" s="69" t="n">
        <v>78284.1860465116</v>
      </c>
      <c r="C6" s="70" t="n">
        <v>75334.4444444444</v>
      </c>
      <c r="D6" s="71" t="n">
        <v>76775.7954545455</v>
      </c>
    </row>
    <row r="7" customFormat="false" ht="15" hidden="false" customHeight="false" outlineLevel="0" collapsed="false">
      <c r="A7" s="72" t="s">
        <v>233</v>
      </c>
      <c r="B7" s="73" t="n">
        <v>1535.90697674419</v>
      </c>
      <c r="C7" s="74" t="n">
        <v>1529.61111111111</v>
      </c>
      <c r="D7" s="75" t="n">
        <v>1532.6875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C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5" activeCellId="0" sqref="E5"/>
    </sheetView>
  </sheetViews>
  <sheetFormatPr defaultRowHeight="15" zeroHeight="false" outlineLevelRow="0" outlineLevelCol="0"/>
  <cols>
    <col collapsed="false" customWidth="true" hidden="false" outlineLevel="0" max="1" min="1" style="0" width="14.15"/>
    <col collapsed="false" customWidth="true" hidden="false" outlineLevel="0" max="2" min="2" style="0" width="14.43"/>
    <col collapsed="false" customWidth="true" hidden="false" outlineLevel="0" max="3" min="3" style="0" width="16.42"/>
    <col collapsed="false" customWidth="true" hidden="false" outlineLevel="0" max="1025" min="4" style="0" width="8.54"/>
  </cols>
  <sheetData>
    <row r="2" customFormat="false" ht="15" hidden="false" customHeight="false" outlineLevel="0" collapsed="false">
      <c r="A2" s="55"/>
      <c r="B2" s="56" t="s">
        <v>230</v>
      </c>
      <c r="C2" s="58"/>
    </row>
    <row r="3" customFormat="false" ht="15" hidden="false" customHeight="false" outlineLevel="0" collapsed="false">
      <c r="A3" s="59" t="s">
        <v>7</v>
      </c>
      <c r="B3" s="60" t="s">
        <v>209</v>
      </c>
      <c r="C3" s="76" t="s">
        <v>232</v>
      </c>
    </row>
    <row r="4" customFormat="false" ht="15" hidden="false" customHeight="false" outlineLevel="0" collapsed="false">
      <c r="A4" s="16" t="s">
        <v>45</v>
      </c>
      <c r="B4" s="63" t="n">
        <v>4</v>
      </c>
      <c r="C4" s="77" t="n">
        <v>92080</v>
      </c>
    </row>
    <row r="5" customFormat="false" ht="15" hidden="false" customHeight="false" outlineLevel="0" collapsed="false">
      <c r="A5" s="18" t="s">
        <v>12</v>
      </c>
      <c r="B5" s="78" t="n">
        <v>20</v>
      </c>
      <c r="C5" s="79" t="n">
        <v>75933</v>
      </c>
    </row>
    <row r="6" customFormat="false" ht="15" hidden="false" customHeight="false" outlineLevel="0" collapsed="false">
      <c r="A6" s="18" t="s">
        <v>15</v>
      </c>
      <c r="B6" s="78" t="n">
        <v>138</v>
      </c>
      <c r="C6" s="79" t="n">
        <v>77058.5507246377</v>
      </c>
    </row>
    <row r="7" customFormat="false" ht="15" hidden="false" customHeight="false" outlineLevel="0" collapsed="false">
      <c r="A7" s="18" t="s">
        <v>20</v>
      </c>
      <c r="B7" s="78" t="n">
        <v>16</v>
      </c>
      <c r="C7" s="79" t="n">
        <v>78115</v>
      </c>
    </row>
    <row r="8" customFormat="false" ht="15" hidden="false" customHeight="false" outlineLevel="0" collapsed="false">
      <c r="A8" s="18" t="s">
        <v>51</v>
      </c>
      <c r="B8" s="80" t="n">
        <v>6</v>
      </c>
      <c r="C8" s="81" t="n">
        <v>77423.3333333333</v>
      </c>
    </row>
    <row r="9" customFormat="false" ht="15" hidden="false" customHeight="false" outlineLevel="0" collapsed="false">
      <c r="A9" s="21" t="s">
        <v>210</v>
      </c>
      <c r="B9" s="82" t="n">
        <v>184</v>
      </c>
      <c r="C9" s="83" t="n">
        <v>77366.5217391304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3:C7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3" activeCellId="0" sqref="B3"/>
    </sheetView>
  </sheetViews>
  <sheetFormatPr defaultRowHeight="15" zeroHeight="false" outlineLevelRow="0" outlineLevelCol="0"/>
  <cols>
    <col collapsed="false" customWidth="true" hidden="false" outlineLevel="0" max="1" min="1" style="0" width="8.54"/>
    <col collapsed="false" customWidth="true" hidden="false" outlineLevel="0" max="2" min="2" style="0" width="13.57"/>
    <col collapsed="false" customWidth="true" hidden="false" outlineLevel="0" max="1025" min="3" style="0" width="8.54"/>
  </cols>
  <sheetData>
    <row r="3" customFormat="false" ht="15" hidden="false" customHeight="false" outlineLevel="0" collapsed="false">
      <c r="B3" s="13" t="s">
        <v>45</v>
      </c>
      <c r="C3" s="13" t="n">
        <v>5</v>
      </c>
    </row>
    <row r="4" customFormat="false" ht="15" hidden="false" customHeight="false" outlineLevel="0" collapsed="false">
      <c r="B4" s="13" t="s">
        <v>12</v>
      </c>
      <c r="C4" s="13" t="n">
        <v>4</v>
      </c>
    </row>
    <row r="5" customFormat="false" ht="15" hidden="false" customHeight="false" outlineLevel="0" collapsed="false">
      <c r="B5" s="13" t="s">
        <v>15</v>
      </c>
      <c r="C5" s="13" t="n">
        <v>3</v>
      </c>
    </row>
    <row r="6" customFormat="false" ht="15" hidden="false" customHeight="false" outlineLevel="0" collapsed="false">
      <c r="B6" s="13" t="s">
        <v>20</v>
      </c>
      <c r="C6" s="13" t="n">
        <v>2</v>
      </c>
    </row>
    <row r="7" customFormat="false" ht="15" hidden="false" customHeight="false" outlineLevel="0" collapsed="false">
      <c r="B7" s="13" t="s">
        <v>51</v>
      </c>
      <c r="C7" s="13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5" activeCellId="0" sqref="H25"/>
    </sheetView>
  </sheetViews>
  <sheetFormatPr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6.57"/>
    <col collapsed="false" customWidth="true" hidden="false" outlineLevel="0" max="3" min="3" style="0" width="14.7"/>
    <col collapsed="false" customWidth="true" hidden="false" outlineLevel="0" max="4" min="4" style="0" width="7.42"/>
    <col collapsed="false" customWidth="true" hidden="false" outlineLevel="0" max="1025" min="5" style="0" width="8.54"/>
  </cols>
  <sheetData>
    <row r="2" customFormat="false" ht="15" hidden="false" customHeight="false" outlineLevel="0" collapsed="false">
      <c r="A2" s="14" t="s">
        <v>112</v>
      </c>
      <c r="B2" s="56" t="s">
        <v>114</v>
      </c>
      <c r="C2" s="15" t="s">
        <v>209</v>
      </c>
    </row>
    <row r="3" customFormat="false" ht="15" hidden="false" customHeight="false" outlineLevel="0" collapsed="false">
      <c r="A3" s="84" t="n">
        <v>2020</v>
      </c>
      <c r="B3" s="85"/>
      <c r="C3" s="86" t="n">
        <v>27</v>
      </c>
    </row>
    <row r="4" customFormat="false" ht="15" hidden="false" customHeight="false" outlineLevel="0" collapsed="false">
      <c r="A4" s="16" t="n">
        <v>2021</v>
      </c>
      <c r="B4" s="87" t="s">
        <v>234</v>
      </c>
      <c r="C4" s="17" t="n">
        <v>4</v>
      </c>
    </row>
    <row r="5" customFormat="false" ht="15" hidden="false" customHeight="false" outlineLevel="0" collapsed="false">
      <c r="A5" s="18"/>
      <c r="B5" s="88" t="s">
        <v>235</v>
      </c>
      <c r="C5" s="19" t="n">
        <v>1</v>
      </c>
    </row>
    <row r="6" customFormat="false" ht="15" hidden="false" customHeight="false" outlineLevel="0" collapsed="false">
      <c r="A6" s="18"/>
      <c r="B6" s="88" t="s">
        <v>236</v>
      </c>
      <c r="C6" s="19" t="n">
        <v>6</v>
      </c>
    </row>
    <row r="7" customFormat="false" ht="15" hidden="false" customHeight="false" outlineLevel="0" collapsed="false">
      <c r="A7" s="18"/>
      <c r="B7" s="88" t="s">
        <v>237</v>
      </c>
      <c r="C7" s="19" t="n">
        <v>5</v>
      </c>
    </row>
    <row r="8" customFormat="false" ht="15" hidden="false" customHeight="false" outlineLevel="0" collapsed="false">
      <c r="A8" s="18"/>
      <c r="B8" s="88" t="s">
        <v>238</v>
      </c>
      <c r="C8" s="19" t="n">
        <v>8</v>
      </c>
    </row>
    <row r="9" customFormat="false" ht="15" hidden="false" customHeight="false" outlineLevel="0" collapsed="false">
      <c r="A9" s="18"/>
      <c r="B9" s="88" t="s">
        <v>239</v>
      </c>
      <c r="C9" s="19" t="n">
        <v>2</v>
      </c>
    </row>
    <row r="10" customFormat="false" ht="15" hidden="false" customHeight="false" outlineLevel="0" collapsed="false">
      <c r="A10" s="18"/>
      <c r="B10" s="88" t="s">
        <v>240</v>
      </c>
      <c r="C10" s="19" t="n">
        <v>9</v>
      </c>
    </row>
    <row r="11" customFormat="false" ht="15" hidden="false" customHeight="false" outlineLevel="0" collapsed="false">
      <c r="A11" s="18"/>
      <c r="B11" s="88" t="s">
        <v>241</v>
      </c>
      <c r="C11" s="19" t="n">
        <v>2</v>
      </c>
    </row>
    <row r="12" customFormat="false" ht="15" hidden="false" customHeight="false" outlineLevel="0" collapsed="false">
      <c r="A12" s="18"/>
      <c r="B12" s="88" t="s">
        <v>242</v>
      </c>
      <c r="C12" s="19" t="n">
        <v>3</v>
      </c>
    </row>
    <row r="13" customFormat="false" ht="15" hidden="false" customHeight="false" outlineLevel="0" collapsed="false">
      <c r="A13" s="18"/>
      <c r="B13" s="88" t="s">
        <v>243</v>
      </c>
      <c r="C13" s="19" t="n">
        <v>1</v>
      </c>
    </row>
    <row r="14" customFormat="false" ht="15" hidden="false" customHeight="false" outlineLevel="0" collapsed="false">
      <c r="A14" s="18"/>
      <c r="B14" s="88" t="s">
        <v>244</v>
      </c>
      <c r="C14" s="19" t="n">
        <v>1</v>
      </c>
    </row>
    <row r="15" customFormat="false" ht="15" hidden="false" customHeight="false" outlineLevel="0" collapsed="false">
      <c r="A15" s="89"/>
      <c r="B15" s="90" t="s">
        <v>245</v>
      </c>
      <c r="C15" s="20" t="n">
        <v>7</v>
      </c>
    </row>
    <row r="16" customFormat="false" ht="15" hidden="false" customHeight="false" outlineLevel="0" collapsed="false">
      <c r="A16" s="91" t="s">
        <v>246</v>
      </c>
      <c r="B16" s="92"/>
      <c r="C16" s="93" t="n">
        <v>49</v>
      </c>
    </row>
    <row r="17" customFormat="false" ht="15" hidden="false" customHeight="false" outlineLevel="0" collapsed="false">
      <c r="A17" s="84" t="n">
        <v>2022</v>
      </c>
      <c r="B17" s="85"/>
      <c r="C17" s="86" t="n">
        <v>35</v>
      </c>
    </row>
    <row r="18" customFormat="false" ht="15" hidden="false" customHeight="false" outlineLevel="0" collapsed="false">
      <c r="A18" s="84" t="n">
        <v>2023</v>
      </c>
      <c r="B18" s="85" t="s">
        <v>235</v>
      </c>
      <c r="C18" s="86" t="n">
        <v>1</v>
      </c>
    </row>
    <row r="19" customFormat="false" ht="15" hidden="false" customHeight="false" outlineLevel="0" collapsed="false">
      <c r="A19" s="91" t="s">
        <v>247</v>
      </c>
      <c r="B19" s="92"/>
      <c r="C19" s="93" t="n">
        <v>1</v>
      </c>
    </row>
    <row r="20" customFormat="false" ht="15" hidden="false" customHeight="false" outlineLevel="0" collapsed="false">
      <c r="A20" s="94" t="s">
        <v>210</v>
      </c>
      <c r="B20" s="95"/>
      <c r="C20" s="22" t="n">
        <v>112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RowHeight="15" zeroHeight="false" outlineLevelRow="0" outlineLevelCol="0"/>
  <cols>
    <col collapsed="false" customWidth="true" hidden="false" outlineLevel="0" max="1" min="1" style="0" width="8.54"/>
    <col collapsed="false" customWidth="true" hidden="false" outlineLevel="0" max="2" min="2" style="0" width="18"/>
    <col collapsed="false" customWidth="true" hidden="false" outlineLevel="0" max="3" min="3" style="0" width="2.57"/>
    <col collapsed="false" customWidth="true" hidden="false" outlineLevel="0" max="4" min="4" style="0" width="18.58"/>
    <col collapsed="false" customWidth="true" hidden="false" outlineLevel="0" max="5" min="5" style="0" width="2.57"/>
    <col collapsed="false" customWidth="true" hidden="false" outlineLevel="0" max="6" min="6" style="0" width="18.29"/>
    <col collapsed="false" customWidth="true" hidden="false" outlineLevel="0" max="8" min="7" style="0" width="8.54"/>
    <col collapsed="false" customWidth="true" hidden="false" outlineLevel="0" max="9" min="9" style="0" width="18"/>
    <col collapsed="false" customWidth="true" hidden="false" outlineLevel="0" max="10" min="10" style="0" width="2.57"/>
    <col collapsed="false" customWidth="true" hidden="false" outlineLevel="0" max="11" min="11" style="0" width="18.58"/>
    <col collapsed="false" customWidth="true" hidden="false" outlineLevel="0" max="12" min="12" style="0" width="2.57"/>
    <col collapsed="false" customWidth="true" hidden="false" outlineLevel="0" max="13" min="13" style="0" width="18.29"/>
    <col collapsed="false" customWidth="true" hidden="false" outlineLevel="0" max="1025" min="14" style="0" width="8.54"/>
  </cols>
  <sheetData>
    <row r="2" customFormat="false" ht="39" hidden="false" customHeight="true" outlineLevel="0" collapsed="false">
      <c r="B2" s="96" t="s">
        <v>248</v>
      </c>
      <c r="C2" s="96"/>
      <c r="D2" s="96"/>
      <c r="E2" s="96"/>
      <c r="F2" s="96"/>
      <c r="I2" s="97" t="s">
        <v>249</v>
      </c>
      <c r="J2" s="97"/>
      <c r="K2" s="97"/>
      <c r="L2" s="97"/>
      <c r="M2" s="97"/>
    </row>
    <row r="3" customFormat="false" ht="75" hidden="false" customHeight="true" outlineLevel="0" collapsed="false">
      <c r="B3" s="98" t="n">
        <f aca="false">COUNTIF(staff[Country],"NZ")</f>
        <v>93</v>
      </c>
      <c r="D3" s="99" t="n">
        <f aca="false">COUNTIFS(staff[Country],"NZ",staff[Gender],"Female")/B3</f>
        <v>0.46236559139785</v>
      </c>
      <c r="F3" s="100" t="n">
        <f aca="false">AVERAGEIFS(staff[Salary],staff[Country],"NZ")</f>
        <v>77110.3225806452</v>
      </c>
      <c r="I3" s="101" t="n">
        <f aca="false">COUNTIF(staff[Country],"IND")</f>
        <v>91</v>
      </c>
      <c r="K3" s="102" t="n">
        <f aca="false">COUNTIFS(staff[Country],"IND",staff[Gender],"Female")/I3</f>
        <v>0.472527472527472</v>
      </c>
      <c r="M3" s="103" t="n">
        <f aca="false">AVERAGEIFS(staff[Salary],staff[Country],"IND")</f>
        <v>77628.3516483516</v>
      </c>
    </row>
    <row r="6" customFormat="false" ht="25.5" hidden="false" customHeight="true" outlineLevel="0" collapsed="false">
      <c r="A6" s="104"/>
      <c r="B6" s="105" t="s">
        <v>250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</row>
    <row r="8" customFormat="false" ht="15" hidden="false" customHeight="false" outlineLevel="0" collapsed="false">
      <c r="B8" s="107"/>
      <c r="C8" s="108"/>
      <c r="D8" s="108"/>
      <c r="E8" s="108"/>
      <c r="F8" s="109"/>
      <c r="I8" s="107"/>
      <c r="J8" s="108"/>
      <c r="K8" s="108"/>
      <c r="L8" s="108"/>
      <c r="M8" s="109"/>
    </row>
    <row r="9" customFormat="false" ht="15" hidden="false" customHeight="false" outlineLevel="0" collapsed="false">
      <c r="B9" s="110"/>
      <c r="F9" s="111"/>
      <c r="I9" s="110"/>
      <c r="M9" s="111"/>
    </row>
    <row r="10" customFormat="false" ht="15" hidden="false" customHeight="false" outlineLevel="0" collapsed="false">
      <c r="B10" s="110"/>
      <c r="F10" s="111"/>
      <c r="I10" s="110"/>
      <c r="M10" s="111"/>
    </row>
    <row r="11" customFormat="false" ht="15" hidden="false" customHeight="false" outlineLevel="0" collapsed="false">
      <c r="B11" s="110"/>
      <c r="F11" s="111"/>
      <c r="I11" s="110"/>
      <c r="M11" s="111"/>
    </row>
    <row r="12" customFormat="false" ht="15" hidden="false" customHeight="false" outlineLevel="0" collapsed="false">
      <c r="B12" s="110"/>
      <c r="F12" s="111"/>
      <c r="I12" s="110"/>
      <c r="M12" s="111"/>
    </row>
    <row r="13" customFormat="false" ht="15" hidden="false" customHeight="false" outlineLevel="0" collapsed="false">
      <c r="B13" s="110"/>
      <c r="F13" s="111"/>
      <c r="I13" s="110"/>
      <c r="M13" s="111"/>
    </row>
    <row r="14" customFormat="false" ht="15" hidden="false" customHeight="false" outlineLevel="0" collapsed="false">
      <c r="B14" s="110"/>
      <c r="F14" s="111"/>
      <c r="I14" s="110"/>
      <c r="M14" s="111"/>
    </row>
    <row r="15" customFormat="false" ht="15" hidden="false" customHeight="false" outlineLevel="0" collapsed="false">
      <c r="B15" s="110"/>
      <c r="F15" s="111"/>
      <c r="I15" s="110"/>
      <c r="M15" s="111"/>
    </row>
    <row r="16" customFormat="false" ht="15" hidden="false" customHeight="false" outlineLevel="0" collapsed="false">
      <c r="B16" s="110"/>
      <c r="F16" s="111"/>
      <c r="I16" s="110"/>
      <c r="M16" s="111"/>
    </row>
    <row r="17" customFormat="false" ht="15" hidden="false" customHeight="false" outlineLevel="0" collapsed="false">
      <c r="B17" s="110"/>
      <c r="F17" s="111"/>
      <c r="I17" s="110"/>
      <c r="M17" s="111"/>
    </row>
    <row r="18" customFormat="false" ht="15" hidden="false" customHeight="false" outlineLevel="0" collapsed="false">
      <c r="B18" s="110"/>
      <c r="F18" s="111"/>
      <c r="I18" s="110"/>
      <c r="M18" s="111"/>
    </row>
    <row r="19" customFormat="false" ht="15" hidden="false" customHeight="false" outlineLevel="0" collapsed="false">
      <c r="B19" s="110"/>
      <c r="F19" s="111"/>
      <c r="I19" s="110"/>
      <c r="M19" s="111"/>
    </row>
    <row r="20" customFormat="false" ht="15" hidden="false" customHeight="false" outlineLevel="0" collapsed="false">
      <c r="B20" s="110"/>
      <c r="F20" s="111"/>
      <c r="I20" s="110"/>
      <c r="M20" s="111"/>
    </row>
    <row r="21" customFormat="false" ht="15" hidden="false" customHeight="false" outlineLevel="0" collapsed="false">
      <c r="B21" s="112"/>
      <c r="C21" s="113"/>
      <c r="D21" s="113"/>
      <c r="E21" s="113"/>
      <c r="F21" s="114"/>
      <c r="I21" s="112"/>
      <c r="J21" s="113"/>
      <c r="K21" s="113"/>
      <c r="L21" s="113"/>
      <c r="M21" s="114"/>
    </row>
  </sheetData>
  <mergeCells count="2">
    <mergeCell ref="B2:F2"/>
    <mergeCell ref="I2:M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2021-03-14T20:21:32Z</dcterms:created>
  <dc:creator>Derry Hill</dc:creator>
  <dc:description/>
  <dc:language>en-US</dc:language>
  <cp:lastModifiedBy/>
  <dcterms:modified xsi:type="dcterms:W3CDTF">2025-11-08T19:58:50Z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